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ink/ink1.xml" ContentType="application/inkml+xml"/>
  <Override PartName="/xl/drawings/drawing2.xml" ContentType="application/vnd.openxmlformats-officedocument.drawing+xml"/>
  <Override PartName="/xl/comments3.xml" ContentType="application/vnd.openxmlformats-officedocument.spreadsheetml.comments+xml"/>
  <Override PartName="/xl/ink/ink2.xml" ContentType="application/inkml+xml"/>
  <Override PartName="/xl/drawings/drawing3.xml" ContentType="application/vnd.openxmlformats-officedocument.drawing+xml"/>
  <Override PartName="/xl/comments4.xml" ContentType="application/vnd.openxmlformats-officedocument.spreadsheetml.comments+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drawings/drawing4.xml" ContentType="application/vnd.openxmlformats-officedocument.drawing+xml"/>
  <Override PartName="/xl/comments5.xml" ContentType="application/vnd.openxmlformats-officedocument.spreadsheetml.comments+xml"/>
  <Override PartName="/xl/ink/ink8.xml" ContentType="application/inkml+xml"/>
  <Override PartName="/xl/ink/ink9.xml" ContentType="application/inkml+xml"/>
  <Override PartName="/xl/ink/ink10.xml" ContentType="application/inkml+xml"/>
  <Override PartName="/xl/ink/ink11.xml" ContentType="application/inkml+xml"/>
  <Override PartName="/xl/comments6.xml" ContentType="application/vnd.openxmlformats-officedocument.spreadsheetml.comments+xml"/>
  <Override PartName="/xl/drawings/drawing5.xml" ContentType="application/vnd.openxmlformats-officedocument.drawing+xml"/>
  <Override PartName="/xl/comments7.xml" ContentType="application/vnd.openxmlformats-officedocument.spreadsheetml.comments+xml"/>
  <Override PartName="/xl/ink/ink12.xml" ContentType="application/inkml+xml"/>
  <Override PartName="/xl/drawings/drawing6.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F:\Users\user\Documents\2020UNI\Project\Excel shit\"/>
    </mc:Choice>
  </mc:AlternateContent>
  <xr:revisionPtr revIDLastSave="0" documentId="13_ncr:1_{7B6DE190-8EE1-46FD-B2BB-9BDE2D6CFED4}" xr6:coauthVersionLast="46" xr6:coauthVersionMax="46" xr10:uidLastSave="{00000000-0000-0000-0000-000000000000}"/>
  <bookViews>
    <workbookView xWindow="-120" yWindow="-120" windowWidth="29040" windowHeight="15840" firstSheet="1" activeTab="6" xr2:uid="{C3F99268-0272-4C0C-AF23-B8DC3FCDB9C8}"/>
  </bookViews>
  <sheets>
    <sheet name="Introduction &amp; Instructions  " sheetId="7" r:id="rId1"/>
    <sheet name="Encyrption" sheetId="1" r:id="rId2"/>
    <sheet name="Decryption" sheetId="6" r:id="rId3"/>
    <sheet name="Encryption Calculations" sheetId="2" r:id="rId4"/>
    <sheet name="Decryption Calculations" sheetId="5" r:id="rId5"/>
    <sheet name="AES S-box" sheetId="4" r:id="rId6"/>
    <sheet name="Mix Columns" sheetId="10" r:id="rId7"/>
    <sheet name="Key Schedule" sheetId="3"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3" i="3" l="1"/>
  <c r="B63" i="3"/>
  <c r="D6" i="1"/>
  <c r="E6" i="1"/>
  <c r="F6" i="1"/>
  <c r="G6" i="1"/>
  <c r="H6" i="1"/>
  <c r="I6" i="1"/>
  <c r="J6" i="1"/>
  <c r="K6" i="1"/>
  <c r="K8" i="1" s="1"/>
  <c r="L6" i="1"/>
  <c r="M6" i="1"/>
  <c r="N6" i="1"/>
  <c r="O6" i="1"/>
  <c r="P6" i="1"/>
  <c r="Q6" i="1"/>
  <c r="R6" i="1"/>
  <c r="C6" i="1"/>
  <c r="C7" i="10"/>
  <c r="E64" i="10"/>
  <c r="F31" i="10"/>
  <c r="E31" i="10"/>
  <c r="D31" i="10"/>
  <c r="C31" i="10"/>
  <c r="D64" i="10"/>
  <c r="F64" i="10"/>
  <c r="C64" i="10"/>
  <c r="C66" i="10"/>
  <c r="S93" i="2"/>
  <c r="R93" i="2"/>
  <c r="S119" i="2"/>
  <c r="R119" i="2"/>
  <c r="AM93" i="2"/>
  <c r="AL93" i="2"/>
  <c r="AC93" i="2"/>
  <c r="AB93" i="2"/>
  <c r="AC132" i="2"/>
  <c r="AB132" i="2"/>
  <c r="AM132" i="2"/>
  <c r="AL132" i="2"/>
  <c r="AM119" i="2"/>
  <c r="AL119" i="2"/>
  <c r="AM106" i="2"/>
  <c r="AL106" i="2"/>
  <c r="AC106" i="2"/>
  <c r="AB106" i="2"/>
  <c r="S106" i="2"/>
  <c r="R106" i="2"/>
  <c r="S132" i="2"/>
  <c r="R132" i="2"/>
  <c r="I132" i="2"/>
  <c r="H132" i="2"/>
  <c r="I119" i="2"/>
  <c r="H119" i="2"/>
  <c r="I106" i="2"/>
  <c r="H106" i="2"/>
  <c r="I93" i="2"/>
  <c r="H93" i="2"/>
  <c r="I84" i="5"/>
  <c r="H84" i="5"/>
  <c r="I71" i="5"/>
  <c r="H71" i="5"/>
  <c r="S84" i="5"/>
  <c r="R84" i="5"/>
  <c r="S71" i="5"/>
  <c r="R71" i="5"/>
  <c r="AC71" i="5"/>
  <c r="AB71" i="5"/>
  <c r="AC84" i="5"/>
  <c r="AB84" i="5"/>
  <c r="AM84" i="5"/>
  <c r="AL84" i="5"/>
  <c r="AM71" i="5"/>
  <c r="AL71" i="5"/>
  <c r="AM58" i="5"/>
  <c r="AL58" i="5"/>
  <c r="AM45" i="5"/>
  <c r="AL45" i="5"/>
  <c r="AC58" i="5"/>
  <c r="AB58" i="5"/>
  <c r="AC45" i="5"/>
  <c r="AB45" i="5"/>
  <c r="S45" i="5"/>
  <c r="R45" i="5"/>
  <c r="S58" i="5"/>
  <c r="R58" i="5"/>
  <c r="I58" i="5"/>
  <c r="H58" i="5"/>
  <c r="H45" i="5"/>
  <c r="I45" i="5"/>
  <c r="O17" i="2" a="1"/>
  <c r="O17" i="2" s="1"/>
  <c r="K17" i="2" a="1"/>
  <c r="K17" i="2" s="1"/>
  <c r="G17" i="2" a="1"/>
  <c r="G17" i="2" s="1"/>
  <c r="C17" i="2" a="1"/>
  <c r="C17" i="2" s="1"/>
  <c r="O204" i="2" a="1"/>
  <c r="O204" i="2" s="1"/>
  <c r="K204" i="2" a="1"/>
  <c r="K204" i="2" s="1"/>
  <c r="G204" i="2" a="1"/>
  <c r="G204" i="2" s="1"/>
  <c r="C204" i="2" a="1"/>
  <c r="C204" i="2" s="1"/>
  <c r="AK22" i="4"/>
  <c r="E187" i="2"/>
  <c r="C33" i="10"/>
  <c r="C35" i="10" s="1"/>
  <c r="C36" i="10" s="1"/>
  <c r="D66" i="10"/>
  <c r="E66" i="10"/>
  <c r="F66" i="10"/>
  <c r="D33" i="10"/>
  <c r="E33" i="10"/>
  <c r="F33" i="10"/>
  <c r="C5" i="10"/>
  <c r="C84" i="3"/>
  <c r="C85" i="3" s="1"/>
  <c r="C86" i="3" s="1"/>
  <c r="C87" i="3" s="1"/>
  <c r="C88" i="3" s="1"/>
  <c r="C89" i="3" s="1"/>
  <c r="C83" i="3"/>
  <c r="C77" i="3"/>
  <c r="F77" i="3" s="1"/>
  <c r="I77" i="3" s="1"/>
  <c r="L77" i="3" s="1"/>
  <c r="O77" i="3" s="1"/>
  <c r="R77" i="3" s="1"/>
  <c r="U77" i="3" s="1"/>
  <c r="X77" i="3" s="1"/>
  <c r="C64" i="3"/>
  <c r="F64" i="3" s="1"/>
  <c r="I64" i="3" s="1"/>
  <c r="L64" i="3" s="1"/>
  <c r="O64" i="3" s="1"/>
  <c r="R64" i="3" s="1"/>
  <c r="U64" i="3" s="1"/>
  <c r="X64" i="3" s="1"/>
  <c r="C65" i="3"/>
  <c r="F65" i="3" s="1"/>
  <c r="I65" i="3" s="1"/>
  <c r="L65" i="3" s="1"/>
  <c r="O65" i="3" s="1"/>
  <c r="R65" i="3" s="1"/>
  <c r="U65" i="3" s="1"/>
  <c r="X65" i="3" s="1"/>
  <c r="C66" i="3"/>
  <c r="F66" i="3" s="1"/>
  <c r="I66" i="3" s="1"/>
  <c r="L66" i="3" s="1"/>
  <c r="O66" i="3" s="1"/>
  <c r="R66" i="3" s="1"/>
  <c r="U66" i="3" s="1"/>
  <c r="X66" i="3" s="1"/>
  <c r="C67" i="3"/>
  <c r="F67" i="3" s="1"/>
  <c r="I67" i="3" s="1"/>
  <c r="L67" i="3" s="1"/>
  <c r="O67" i="3" s="1"/>
  <c r="R67" i="3" s="1"/>
  <c r="U67" i="3" s="1"/>
  <c r="X67" i="3" s="1"/>
  <c r="C68" i="3"/>
  <c r="F68" i="3" s="1"/>
  <c r="I68" i="3" s="1"/>
  <c r="L68" i="3" s="1"/>
  <c r="O68" i="3" s="1"/>
  <c r="R68" i="3" s="1"/>
  <c r="U68" i="3" s="1"/>
  <c r="X68" i="3" s="1"/>
  <c r="C69" i="3"/>
  <c r="F69" i="3" s="1"/>
  <c r="I69" i="3" s="1"/>
  <c r="L69" i="3" s="1"/>
  <c r="O69" i="3" s="1"/>
  <c r="R69" i="3" s="1"/>
  <c r="U69" i="3" s="1"/>
  <c r="X69" i="3" s="1"/>
  <c r="C70" i="3"/>
  <c r="F70" i="3" s="1"/>
  <c r="I70" i="3" s="1"/>
  <c r="L70" i="3" s="1"/>
  <c r="O70" i="3" s="1"/>
  <c r="R70" i="3" s="1"/>
  <c r="U70" i="3" s="1"/>
  <c r="X70" i="3" s="1"/>
  <c r="C71" i="3"/>
  <c r="F71" i="3" s="1"/>
  <c r="I71" i="3" s="1"/>
  <c r="L71" i="3" s="1"/>
  <c r="O71" i="3" s="1"/>
  <c r="R71" i="3" s="1"/>
  <c r="U71" i="3" s="1"/>
  <c r="X71" i="3" s="1"/>
  <c r="C72" i="3"/>
  <c r="F72" i="3" s="1"/>
  <c r="I72" i="3" s="1"/>
  <c r="L72" i="3" s="1"/>
  <c r="O72" i="3" s="1"/>
  <c r="R72" i="3" s="1"/>
  <c r="U72" i="3" s="1"/>
  <c r="X72" i="3" s="1"/>
  <c r="C73" i="3"/>
  <c r="F73" i="3" s="1"/>
  <c r="I73" i="3" s="1"/>
  <c r="L73" i="3" s="1"/>
  <c r="O73" i="3" s="1"/>
  <c r="R73" i="3" s="1"/>
  <c r="U73" i="3" s="1"/>
  <c r="X73" i="3" s="1"/>
  <c r="C74" i="3"/>
  <c r="F74" i="3" s="1"/>
  <c r="I74" i="3" s="1"/>
  <c r="L74" i="3" s="1"/>
  <c r="O74" i="3" s="1"/>
  <c r="R74" i="3" s="1"/>
  <c r="U74" i="3" s="1"/>
  <c r="X74" i="3" s="1"/>
  <c r="C75" i="3"/>
  <c r="F75" i="3" s="1"/>
  <c r="I75" i="3" s="1"/>
  <c r="L75" i="3" s="1"/>
  <c r="O75" i="3" s="1"/>
  <c r="R75" i="3" s="1"/>
  <c r="U75" i="3" s="1"/>
  <c r="X75" i="3" s="1"/>
  <c r="C76" i="3"/>
  <c r="F76" i="3" s="1"/>
  <c r="I76" i="3" s="1"/>
  <c r="L76" i="3" s="1"/>
  <c r="O76" i="3" s="1"/>
  <c r="R76" i="3" s="1"/>
  <c r="U76" i="3" s="1"/>
  <c r="X76" i="3" s="1"/>
  <c r="F63" i="3"/>
  <c r="I63" i="3" s="1"/>
  <c r="C22" i="1"/>
  <c r="C14" i="2" s="1"/>
  <c r="C21" i="1" s="1"/>
  <c r="P22" i="1"/>
  <c r="P14" i="2" s="1"/>
  <c r="Q22" i="1"/>
  <c r="Q14" i="2" s="1"/>
  <c r="R22" i="1"/>
  <c r="R14" i="2" s="1"/>
  <c r="O22" i="1"/>
  <c r="O14" i="2" s="1"/>
  <c r="L22" i="1"/>
  <c r="L14" i="2" s="1"/>
  <c r="M22" i="1"/>
  <c r="M14" i="2" s="1"/>
  <c r="N22" i="1"/>
  <c r="N14" i="2" s="1"/>
  <c r="K22" i="1"/>
  <c r="K14" i="2" s="1"/>
  <c r="H22" i="1"/>
  <c r="H14" i="2" s="1"/>
  <c r="I22" i="1"/>
  <c r="I14" i="2" s="1"/>
  <c r="J22" i="1"/>
  <c r="J14" i="2" s="1"/>
  <c r="G22" i="1"/>
  <c r="G14" i="2" s="1"/>
  <c r="D22" i="1"/>
  <c r="D14" i="2" s="1"/>
  <c r="E22" i="1"/>
  <c r="E14" i="2" s="1"/>
  <c r="F22" i="1"/>
  <c r="F14" i="2" s="1"/>
  <c r="F24" i="4"/>
  <c r="O150" i="5" a="1"/>
  <c r="O150" i="5" s="1"/>
  <c r="K150" i="5" a="1"/>
  <c r="K150" i="5" s="1"/>
  <c r="G150" i="5" a="1"/>
  <c r="G150" i="5" s="1"/>
  <c r="C150" i="5" a="1"/>
  <c r="C150" i="5" s="1"/>
  <c r="N187" i="2"/>
  <c r="K187" i="2"/>
  <c r="H187" i="2"/>
  <c r="C155" i="2" l="1"/>
  <c r="C6" i="10"/>
  <c r="B6" i="10" s="1"/>
  <c r="C37" i="10"/>
  <c r="C8" i="10"/>
  <c r="D6" i="10"/>
  <c r="F6" i="10" s="1"/>
  <c r="D5" i="10"/>
  <c r="F5" i="10" s="1"/>
  <c r="B5" i="10"/>
  <c r="B83" i="3"/>
  <c r="D83" i="3"/>
  <c r="F83" i="3" s="1"/>
  <c r="J65" i="3"/>
  <c r="D86" i="3"/>
  <c r="F86" i="3" s="1"/>
  <c r="D89" i="3"/>
  <c r="F89" i="3" s="1"/>
  <c r="B66" i="3"/>
  <c r="B65" i="3"/>
  <c r="B64" i="3"/>
  <c r="D64" i="3"/>
  <c r="H64" i="3"/>
  <c r="H65" i="3"/>
  <c r="J64" i="3"/>
  <c r="J66" i="3"/>
  <c r="H63" i="3"/>
  <c r="J63" i="3"/>
  <c r="D63" i="3"/>
  <c r="D77" i="3"/>
  <c r="D76" i="3"/>
  <c r="H77" i="3"/>
  <c r="B77" i="3"/>
  <c r="D75" i="3"/>
  <c r="H66" i="3"/>
  <c r="J67" i="3"/>
  <c r="B76" i="3"/>
  <c r="D74" i="3"/>
  <c r="H67" i="3"/>
  <c r="J68" i="3"/>
  <c r="B75" i="3"/>
  <c r="D73" i="3"/>
  <c r="H68" i="3"/>
  <c r="J69" i="3"/>
  <c r="B74" i="3"/>
  <c r="D72" i="3"/>
  <c r="H69" i="3"/>
  <c r="J70" i="3"/>
  <c r="B73" i="3"/>
  <c r="D71" i="3"/>
  <c r="H70" i="3"/>
  <c r="J71" i="3"/>
  <c r="B72" i="3"/>
  <c r="D70" i="3"/>
  <c r="H71" i="3"/>
  <c r="J72" i="3"/>
  <c r="B71" i="3"/>
  <c r="D69" i="3"/>
  <c r="H72" i="3"/>
  <c r="J73" i="3"/>
  <c r="B70" i="3"/>
  <c r="D68" i="3"/>
  <c r="H73" i="3"/>
  <c r="J74" i="3"/>
  <c r="B69" i="3"/>
  <c r="D67" i="3"/>
  <c r="H74" i="3"/>
  <c r="J75" i="3"/>
  <c r="B68" i="3"/>
  <c r="D66" i="3"/>
  <c r="H75" i="3"/>
  <c r="J76" i="3"/>
  <c r="B67" i="3"/>
  <c r="D65" i="3"/>
  <c r="H76" i="3"/>
  <c r="J77" i="3"/>
  <c r="N77" i="3"/>
  <c r="N68" i="3"/>
  <c r="T72" i="3"/>
  <c r="T71" i="3"/>
  <c r="V72" i="3"/>
  <c r="V70" i="3"/>
  <c r="V69" i="3"/>
  <c r="P76" i="3"/>
  <c r="N69" i="3"/>
  <c r="P67" i="3"/>
  <c r="T65" i="3"/>
  <c r="P66" i="3"/>
  <c r="T64" i="3"/>
  <c r="N67" i="3"/>
  <c r="P65" i="3"/>
  <c r="V77" i="3"/>
  <c r="V76" i="3"/>
  <c r="N65" i="3"/>
  <c r="T77" i="3"/>
  <c r="V75" i="3"/>
  <c r="N66" i="3"/>
  <c r="P64" i="3"/>
  <c r="N64" i="3"/>
  <c r="T76" i="3"/>
  <c r="V74" i="3"/>
  <c r="P77" i="3"/>
  <c r="T75" i="3"/>
  <c r="V73" i="3"/>
  <c r="P75" i="3"/>
  <c r="T73" i="3"/>
  <c r="V71" i="3"/>
  <c r="N76" i="3"/>
  <c r="P74" i="3"/>
  <c r="N74" i="3"/>
  <c r="P72" i="3"/>
  <c r="T70" i="3"/>
  <c r="V68" i="3"/>
  <c r="T74" i="3"/>
  <c r="N75" i="3"/>
  <c r="N73" i="3"/>
  <c r="P71" i="3"/>
  <c r="T69" i="3"/>
  <c r="V67" i="3"/>
  <c r="N72" i="3"/>
  <c r="P70" i="3"/>
  <c r="T68" i="3"/>
  <c r="V66" i="3"/>
  <c r="N71" i="3"/>
  <c r="P69" i="3"/>
  <c r="T67" i="3"/>
  <c r="V65" i="3"/>
  <c r="P73" i="3"/>
  <c r="N70" i="3"/>
  <c r="P68" i="3"/>
  <c r="T66" i="3"/>
  <c r="V64" i="3"/>
  <c r="L63" i="3"/>
  <c r="O63" i="3" s="1"/>
  <c r="B89" i="3"/>
  <c r="B88" i="3"/>
  <c r="B87" i="3"/>
  <c r="B86" i="3"/>
  <c r="D88" i="3"/>
  <c r="F88" i="3" s="1"/>
  <c r="D87" i="3"/>
  <c r="F87" i="3" s="1"/>
  <c r="S22" i="1"/>
  <c r="C23" i="1"/>
  <c r="AK38" i="4"/>
  <c r="AJ38" i="4"/>
  <c r="AI38" i="4"/>
  <c r="AH38" i="4"/>
  <c r="AG38" i="4"/>
  <c r="AF38" i="4"/>
  <c r="AE38" i="4"/>
  <c r="AD38" i="4"/>
  <c r="AC38" i="4"/>
  <c r="AB38" i="4"/>
  <c r="AA38" i="4"/>
  <c r="Z38" i="4"/>
  <c r="Y38" i="4"/>
  <c r="X38" i="4"/>
  <c r="W38" i="4"/>
  <c r="V38" i="4"/>
  <c r="U38" i="4"/>
  <c r="AK37" i="4"/>
  <c r="AJ37" i="4"/>
  <c r="AI37" i="4"/>
  <c r="AH37" i="4"/>
  <c r="AG37" i="4"/>
  <c r="AF37" i="4"/>
  <c r="AE37" i="4"/>
  <c r="AD37" i="4"/>
  <c r="AC37" i="4"/>
  <c r="AB37" i="4"/>
  <c r="AA37" i="4"/>
  <c r="Z37" i="4"/>
  <c r="Y37" i="4"/>
  <c r="X37" i="4"/>
  <c r="W37" i="4"/>
  <c r="V37" i="4"/>
  <c r="U37" i="4"/>
  <c r="AK36" i="4"/>
  <c r="AJ36" i="4"/>
  <c r="AI36" i="4"/>
  <c r="AH36" i="4"/>
  <c r="AG36" i="4"/>
  <c r="AF36" i="4"/>
  <c r="AE36" i="4"/>
  <c r="AD36" i="4"/>
  <c r="AC36" i="4"/>
  <c r="AB36" i="4"/>
  <c r="AA36" i="4"/>
  <c r="Z36" i="4"/>
  <c r="Y36" i="4"/>
  <c r="X36" i="4"/>
  <c r="W36" i="4"/>
  <c r="V36" i="4"/>
  <c r="U36" i="4"/>
  <c r="AK35" i="4"/>
  <c r="AJ35" i="4"/>
  <c r="AI35" i="4"/>
  <c r="AH35" i="4"/>
  <c r="AG35" i="4"/>
  <c r="AF35" i="4"/>
  <c r="AE35" i="4"/>
  <c r="AD35" i="4"/>
  <c r="AC35" i="4"/>
  <c r="AB35" i="4"/>
  <c r="AA35" i="4"/>
  <c r="Z35" i="4"/>
  <c r="Y35" i="4"/>
  <c r="X35" i="4"/>
  <c r="W35" i="4"/>
  <c r="V35" i="4"/>
  <c r="U35" i="4"/>
  <c r="AK34" i="4"/>
  <c r="AJ34" i="4"/>
  <c r="AI34" i="4"/>
  <c r="AH34" i="4"/>
  <c r="AG34" i="4"/>
  <c r="AF34" i="4"/>
  <c r="AE34" i="4"/>
  <c r="AD34" i="4"/>
  <c r="AC34" i="4"/>
  <c r="AB34" i="4"/>
  <c r="AA34" i="4"/>
  <c r="Z34" i="4"/>
  <c r="Y34" i="4"/>
  <c r="X34" i="4"/>
  <c r="W34" i="4"/>
  <c r="V34" i="4"/>
  <c r="U34" i="4"/>
  <c r="AK33" i="4"/>
  <c r="AJ33" i="4"/>
  <c r="AI33" i="4"/>
  <c r="AH33" i="4"/>
  <c r="AG33" i="4"/>
  <c r="AF33" i="4"/>
  <c r="AE33" i="4"/>
  <c r="AD33" i="4"/>
  <c r="AC33" i="4"/>
  <c r="AB33" i="4"/>
  <c r="AA33" i="4"/>
  <c r="Z33" i="4"/>
  <c r="Y33" i="4"/>
  <c r="X33" i="4"/>
  <c r="W33" i="4"/>
  <c r="V33" i="4"/>
  <c r="U33" i="4"/>
  <c r="AK32" i="4"/>
  <c r="AJ32" i="4"/>
  <c r="AI32" i="4"/>
  <c r="AH32" i="4"/>
  <c r="AG32" i="4"/>
  <c r="AF32" i="4"/>
  <c r="AE32" i="4"/>
  <c r="AD32" i="4"/>
  <c r="AC32" i="4"/>
  <c r="AB32" i="4"/>
  <c r="AA32" i="4"/>
  <c r="Z32" i="4"/>
  <c r="Y32" i="4"/>
  <c r="X32" i="4"/>
  <c r="W32" i="4"/>
  <c r="V32" i="4"/>
  <c r="U32" i="4"/>
  <c r="AK31" i="4"/>
  <c r="AJ31" i="4"/>
  <c r="AI31" i="4"/>
  <c r="AH31" i="4"/>
  <c r="AG31" i="4"/>
  <c r="AF31" i="4"/>
  <c r="AE31" i="4"/>
  <c r="AD31" i="4"/>
  <c r="AC31" i="4"/>
  <c r="AB31" i="4"/>
  <c r="AA31" i="4"/>
  <c r="Z31" i="4"/>
  <c r="Y31" i="4"/>
  <c r="X31" i="4"/>
  <c r="W31" i="4"/>
  <c r="V31" i="4"/>
  <c r="U31" i="4"/>
  <c r="AK30" i="4"/>
  <c r="AJ30" i="4"/>
  <c r="AI30" i="4"/>
  <c r="AH30" i="4"/>
  <c r="AG30" i="4"/>
  <c r="AF30" i="4"/>
  <c r="AE30" i="4"/>
  <c r="AD30" i="4"/>
  <c r="AC30" i="4"/>
  <c r="AB30" i="4"/>
  <c r="AA30" i="4"/>
  <c r="Z30" i="4"/>
  <c r="Y30" i="4"/>
  <c r="X30" i="4"/>
  <c r="W30" i="4"/>
  <c r="V30" i="4"/>
  <c r="U30" i="4"/>
  <c r="AK29" i="4"/>
  <c r="AJ29" i="4"/>
  <c r="AI29" i="4"/>
  <c r="AH29" i="4"/>
  <c r="AG29" i="4"/>
  <c r="AF29" i="4"/>
  <c r="AE29" i="4"/>
  <c r="AD29" i="4"/>
  <c r="AC29" i="4"/>
  <c r="AB29" i="4"/>
  <c r="AA29" i="4"/>
  <c r="Z29" i="4"/>
  <c r="Y29" i="4"/>
  <c r="X29" i="4"/>
  <c r="W29" i="4"/>
  <c r="V29" i="4"/>
  <c r="U29" i="4"/>
  <c r="AK28" i="4"/>
  <c r="AJ28" i="4"/>
  <c r="AI28" i="4"/>
  <c r="AH28" i="4"/>
  <c r="AG28" i="4"/>
  <c r="AF28" i="4"/>
  <c r="AE28" i="4"/>
  <c r="AD28" i="4"/>
  <c r="AC28" i="4"/>
  <c r="AB28" i="4"/>
  <c r="AA28" i="4"/>
  <c r="Z28" i="4"/>
  <c r="Y28" i="4"/>
  <c r="X28" i="4"/>
  <c r="W28" i="4"/>
  <c r="V28" i="4"/>
  <c r="U28" i="4"/>
  <c r="AK27" i="4"/>
  <c r="AJ27" i="4"/>
  <c r="AI27" i="4"/>
  <c r="AH27" i="4"/>
  <c r="AG27" i="4"/>
  <c r="AF27" i="4"/>
  <c r="AE27" i="4"/>
  <c r="AD27" i="4"/>
  <c r="AC27" i="4"/>
  <c r="AB27" i="4"/>
  <c r="AA27" i="4"/>
  <c r="Z27" i="4"/>
  <c r="Y27" i="4"/>
  <c r="X27" i="4"/>
  <c r="W27" i="4"/>
  <c r="V27" i="4"/>
  <c r="U27" i="4"/>
  <c r="AK26" i="4"/>
  <c r="AJ26" i="4"/>
  <c r="AI26" i="4"/>
  <c r="AH26" i="4"/>
  <c r="AG26" i="4"/>
  <c r="AF26" i="4"/>
  <c r="AE26" i="4"/>
  <c r="AD26" i="4"/>
  <c r="AC26" i="4"/>
  <c r="AB26" i="4"/>
  <c r="AA26" i="4"/>
  <c r="Z26" i="4"/>
  <c r="Y26" i="4"/>
  <c r="X26" i="4"/>
  <c r="W26" i="4"/>
  <c r="V26" i="4"/>
  <c r="U26" i="4"/>
  <c r="AK25" i="4"/>
  <c r="AJ25" i="4"/>
  <c r="AI25" i="4"/>
  <c r="AH25" i="4"/>
  <c r="AG25" i="4"/>
  <c r="AF25" i="4"/>
  <c r="AE25" i="4"/>
  <c r="AD25" i="4"/>
  <c r="AC25" i="4"/>
  <c r="AB25" i="4"/>
  <c r="AA25" i="4"/>
  <c r="Z25" i="4"/>
  <c r="Y25" i="4"/>
  <c r="X25" i="4"/>
  <c r="W25" i="4"/>
  <c r="V25" i="4"/>
  <c r="U25" i="4"/>
  <c r="AK24" i="4"/>
  <c r="AJ24" i="4"/>
  <c r="AI24" i="4"/>
  <c r="AH24" i="4"/>
  <c r="AG24" i="4"/>
  <c r="AF24" i="4"/>
  <c r="AE24" i="4"/>
  <c r="AD24" i="4"/>
  <c r="AC24" i="4"/>
  <c r="AB24" i="4"/>
  <c r="AA24" i="4"/>
  <c r="Z24" i="4"/>
  <c r="Y24" i="4"/>
  <c r="X24" i="4"/>
  <c r="W24" i="4"/>
  <c r="V24" i="4"/>
  <c r="U24" i="4"/>
  <c r="AK23" i="4"/>
  <c r="AJ23" i="4"/>
  <c r="AI23" i="4"/>
  <c r="AH23" i="4"/>
  <c r="AG23" i="4"/>
  <c r="AF23" i="4"/>
  <c r="AE23" i="4"/>
  <c r="AD23" i="4"/>
  <c r="AC23" i="4"/>
  <c r="AB23" i="4"/>
  <c r="AA23" i="4"/>
  <c r="Z23" i="4"/>
  <c r="Y23" i="4"/>
  <c r="X23" i="4"/>
  <c r="W23" i="4"/>
  <c r="V23" i="4"/>
  <c r="U23" i="4"/>
  <c r="AJ22" i="4"/>
  <c r="AI22" i="4"/>
  <c r="AH22" i="4"/>
  <c r="AG22" i="4"/>
  <c r="AF22" i="4"/>
  <c r="AE22" i="4"/>
  <c r="AD22" i="4"/>
  <c r="AC22" i="4"/>
  <c r="AB22" i="4"/>
  <c r="AA22" i="4"/>
  <c r="Z22" i="4"/>
  <c r="Y22" i="4"/>
  <c r="X22" i="4"/>
  <c r="W22" i="4"/>
  <c r="V22" i="4"/>
  <c r="C38" i="10" l="1"/>
  <c r="B7" i="10"/>
  <c r="D7" i="10"/>
  <c r="F7" i="10" s="1"/>
  <c r="R63" i="3"/>
  <c r="U63" i="3" s="1"/>
  <c r="P63" i="3"/>
  <c r="N63" i="3"/>
  <c r="D108" i="1"/>
  <c r="M108" i="1"/>
  <c r="J108" i="1"/>
  <c r="G108" i="1"/>
  <c r="K24" i="4"/>
  <c r="C24" i="4"/>
  <c r="C25" i="4"/>
  <c r="C26" i="4"/>
  <c r="C27" i="4"/>
  <c r="C28" i="4"/>
  <c r="C29" i="4"/>
  <c r="C30" i="4"/>
  <c r="C31" i="4"/>
  <c r="C32" i="4"/>
  <c r="C33" i="4"/>
  <c r="C34" i="4"/>
  <c r="C35" i="4"/>
  <c r="C36" i="4"/>
  <c r="C37" i="4"/>
  <c r="C38" i="4"/>
  <c r="C23" i="4"/>
  <c r="E22" i="4"/>
  <c r="F22" i="4"/>
  <c r="G22" i="4"/>
  <c r="H22" i="4"/>
  <c r="I22" i="4"/>
  <c r="J22" i="4"/>
  <c r="K22" i="4"/>
  <c r="L22" i="4"/>
  <c r="M22" i="4"/>
  <c r="N22" i="4"/>
  <c r="O22" i="4"/>
  <c r="P22" i="4"/>
  <c r="Q22" i="4"/>
  <c r="R22" i="4"/>
  <c r="S22" i="4"/>
  <c r="D22" i="4"/>
  <c r="D36" i="4"/>
  <c r="E36" i="4"/>
  <c r="F36" i="4"/>
  <c r="G36" i="4"/>
  <c r="H36" i="4"/>
  <c r="I36" i="4"/>
  <c r="J36" i="4"/>
  <c r="K36" i="4"/>
  <c r="L36" i="4"/>
  <c r="M36" i="4"/>
  <c r="N36" i="4"/>
  <c r="O36" i="4"/>
  <c r="P36" i="4"/>
  <c r="Q36" i="4"/>
  <c r="R36" i="4"/>
  <c r="S36" i="4"/>
  <c r="D37" i="4"/>
  <c r="E37" i="4"/>
  <c r="F37" i="4"/>
  <c r="G37" i="4"/>
  <c r="H37" i="4"/>
  <c r="I37" i="4"/>
  <c r="J37" i="4"/>
  <c r="K37" i="4"/>
  <c r="L37" i="4"/>
  <c r="M37" i="4"/>
  <c r="N37" i="4"/>
  <c r="O37" i="4"/>
  <c r="P37" i="4"/>
  <c r="Q37" i="4"/>
  <c r="R37" i="4"/>
  <c r="S37" i="4"/>
  <c r="D38" i="4"/>
  <c r="E38" i="4"/>
  <c r="F38" i="4"/>
  <c r="G38" i="4"/>
  <c r="H38" i="4"/>
  <c r="I38" i="4"/>
  <c r="J38" i="4"/>
  <c r="K38" i="4"/>
  <c r="L38" i="4"/>
  <c r="M38" i="4"/>
  <c r="N38" i="4"/>
  <c r="O38" i="4"/>
  <c r="P38" i="4"/>
  <c r="Q38" i="4"/>
  <c r="R38" i="4"/>
  <c r="S38" i="4"/>
  <c r="D24" i="4"/>
  <c r="E24" i="4"/>
  <c r="G24" i="4"/>
  <c r="H24" i="4"/>
  <c r="I24" i="4"/>
  <c r="J24" i="4"/>
  <c r="L24" i="4"/>
  <c r="M24" i="4"/>
  <c r="N24" i="4"/>
  <c r="O24" i="4"/>
  <c r="P24" i="4"/>
  <c r="Q24" i="4"/>
  <c r="R24" i="4"/>
  <c r="S24" i="4"/>
  <c r="D25" i="4"/>
  <c r="E25" i="4"/>
  <c r="F25" i="4"/>
  <c r="G25" i="4"/>
  <c r="H25" i="4"/>
  <c r="I25" i="4"/>
  <c r="J25" i="4"/>
  <c r="K25" i="4"/>
  <c r="L25" i="4"/>
  <c r="M25" i="4"/>
  <c r="N25" i="4"/>
  <c r="O25" i="4"/>
  <c r="P25" i="4"/>
  <c r="Q25" i="4"/>
  <c r="R25" i="4"/>
  <c r="S25" i="4"/>
  <c r="D26" i="4"/>
  <c r="E26" i="4"/>
  <c r="F26" i="4"/>
  <c r="G26" i="4"/>
  <c r="H26" i="4"/>
  <c r="I26" i="4"/>
  <c r="J26" i="4"/>
  <c r="K26" i="4"/>
  <c r="L26" i="4"/>
  <c r="M26" i="4"/>
  <c r="N26" i="4"/>
  <c r="O26" i="4"/>
  <c r="P26" i="4"/>
  <c r="Q26" i="4"/>
  <c r="R26" i="4"/>
  <c r="S26" i="4"/>
  <c r="D27" i="4"/>
  <c r="E27" i="4"/>
  <c r="F27" i="4"/>
  <c r="G27" i="4"/>
  <c r="H27" i="4"/>
  <c r="I27" i="4"/>
  <c r="J27" i="4"/>
  <c r="K27" i="4"/>
  <c r="L27" i="4"/>
  <c r="M27" i="4"/>
  <c r="N27" i="4"/>
  <c r="O27" i="4"/>
  <c r="P27" i="4"/>
  <c r="Q27" i="4"/>
  <c r="R27" i="4"/>
  <c r="S27" i="4"/>
  <c r="D28" i="4"/>
  <c r="E28" i="4"/>
  <c r="F28" i="4"/>
  <c r="G28" i="4"/>
  <c r="H28" i="4"/>
  <c r="I28" i="4"/>
  <c r="J28" i="4"/>
  <c r="K28" i="4"/>
  <c r="L28" i="4"/>
  <c r="M28" i="4"/>
  <c r="N28" i="4"/>
  <c r="O28" i="4"/>
  <c r="P28" i="4"/>
  <c r="Q28" i="4"/>
  <c r="R28" i="4"/>
  <c r="S28" i="4"/>
  <c r="D29" i="4"/>
  <c r="E29" i="4"/>
  <c r="F29" i="4"/>
  <c r="G29" i="4"/>
  <c r="H29" i="4"/>
  <c r="I29" i="4"/>
  <c r="J29" i="4"/>
  <c r="K29" i="4"/>
  <c r="L29" i="4"/>
  <c r="M29" i="4"/>
  <c r="N29" i="4"/>
  <c r="O29" i="4"/>
  <c r="P29" i="4"/>
  <c r="Q29" i="4"/>
  <c r="R29" i="4"/>
  <c r="S29" i="4"/>
  <c r="D30" i="4"/>
  <c r="E30" i="4"/>
  <c r="F30" i="4"/>
  <c r="G30" i="4"/>
  <c r="H30" i="4"/>
  <c r="I30" i="4"/>
  <c r="J30" i="4"/>
  <c r="K30" i="4"/>
  <c r="L30" i="4"/>
  <c r="M30" i="4"/>
  <c r="N30" i="4"/>
  <c r="O30" i="4"/>
  <c r="P30" i="4"/>
  <c r="Q30" i="4"/>
  <c r="R30" i="4"/>
  <c r="S30" i="4"/>
  <c r="D31" i="4"/>
  <c r="E31" i="4"/>
  <c r="F31" i="4"/>
  <c r="G31" i="4"/>
  <c r="H31" i="4"/>
  <c r="I31" i="4"/>
  <c r="J31" i="4"/>
  <c r="K31" i="4"/>
  <c r="L31" i="4"/>
  <c r="M31" i="4"/>
  <c r="N31" i="4"/>
  <c r="O31" i="4"/>
  <c r="P31" i="4"/>
  <c r="Q31" i="4"/>
  <c r="R31" i="4"/>
  <c r="S31" i="4"/>
  <c r="D32" i="4"/>
  <c r="E32" i="4"/>
  <c r="F32" i="4"/>
  <c r="G32" i="4"/>
  <c r="H32" i="4"/>
  <c r="I32" i="4"/>
  <c r="J32" i="4"/>
  <c r="K32" i="4"/>
  <c r="L32" i="4"/>
  <c r="M32" i="4"/>
  <c r="N32" i="4"/>
  <c r="O32" i="4"/>
  <c r="P32" i="4"/>
  <c r="Q32" i="4"/>
  <c r="R32" i="4"/>
  <c r="S32" i="4"/>
  <c r="D33" i="4"/>
  <c r="E33" i="4"/>
  <c r="F33" i="4"/>
  <c r="G33" i="4"/>
  <c r="H33" i="4"/>
  <c r="I33" i="4"/>
  <c r="J33" i="4"/>
  <c r="K33" i="4"/>
  <c r="L33" i="4"/>
  <c r="M33" i="4"/>
  <c r="N33" i="4"/>
  <c r="O33" i="4"/>
  <c r="P33" i="4"/>
  <c r="Q33" i="4"/>
  <c r="R33" i="4"/>
  <c r="S33" i="4"/>
  <c r="D34" i="4"/>
  <c r="E34" i="4"/>
  <c r="F34" i="4"/>
  <c r="G34" i="4"/>
  <c r="H34" i="4"/>
  <c r="I34" i="4"/>
  <c r="J34" i="4"/>
  <c r="K34" i="4"/>
  <c r="L34" i="4"/>
  <c r="M34" i="4"/>
  <c r="N34" i="4"/>
  <c r="O34" i="4"/>
  <c r="P34" i="4"/>
  <c r="Q34" i="4"/>
  <c r="R34" i="4"/>
  <c r="S34" i="4"/>
  <c r="D35" i="4"/>
  <c r="E35" i="4"/>
  <c r="F35" i="4"/>
  <c r="G35" i="4"/>
  <c r="H35" i="4"/>
  <c r="I35" i="4"/>
  <c r="J35" i="4"/>
  <c r="K35" i="4"/>
  <c r="L35" i="4"/>
  <c r="M35" i="4"/>
  <c r="N35" i="4"/>
  <c r="O35" i="4"/>
  <c r="P35" i="4"/>
  <c r="Q35" i="4"/>
  <c r="R35" i="4"/>
  <c r="S35" i="4"/>
  <c r="E23" i="4"/>
  <c r="F23" i="4"/>
  <c r="G23" i="4"/>
  <c r="H23" i="4"/>
  <c r="I23" i="4"/>
  <c r="J23" i="4"/>
  <c r="K23" i="4"/>
  <c r="L23" i="4"/>
  <c r="M23" i="4"/>
  <c r="N23" i="4"/>
  <c r="O23" i="4"/>
  <c r="P23" i="4"/>
  <c r="Q23" i="4"/>
  <c r="R23" i="4"/>
  <c r="S23" i="4"/>
  <c r="D23" i="4"/>
  <c r="C39" i="10" l="1"/>
  <c r="D8" i="10"/>
  <c r="F8" i="10" s="1"/>
  <c r="B8" i="10"/>
  <c r="X63" i="3"/>
  <c r="V63" i="3"/>
  <c r="T63" i="3"/>
  <c r="C2" i="2"/>
  <c r="C5" i="2" s="1"/>
  <c r="C7" i="2" s="1"/>
  <c r="C8" i="2" s="1"/>
  <c r="G9" i="1"/>
  <c r="H8" i="1" l="1"/>
  <c r="H10" i="1" s="1"/>
  <c r="H9" i="1"/>
  <c r="R8" i="1"/>
  <c r="R10" i="1" s="1"/>
  <c r="R9" i="1"/>
  <c r="J8" i="1"/>
  <c r="J10" i="1" s="1"/>
  <c r="J9" i="1"/>
  <c r="P8" i="1"/>
  <c r="P10" i="1" s="1"/>
  <c r="P9" i="1"/>
  <c r="K10" i="1"/>
  <c r="K9" i="1"/>
  <c r="F8" i="1"/>
  <c r="F10" i="1" s="1"/>
  <c r="F9" i="1"/>
  <c r="C8" i="1"/>
  <c r="C10" i="1" s="1"/>
  <c r="C9" i="1"/>
  <c r="O8" i="1"/>
  <c r="O10" i="1" s="1"/>
  <c r="O9" i="1"/>
  <c r="N8" i="1"/>
  <c r="N10" i="1" s="1"/>
  <c r="N9" i="1"/>
  <c r="I8" i="1"/>
  <c r="I10" i="1" s="1"/>
  <c r="I9" i="1"/>
  <c r="E8" i="1"/>
  <c r="E10" i="1" s="1"/>
  <c r="E9" i="1"/>
  <c r="Q8" i="1"/>
  <c r="Q10" i="1" s="1"/>
  <c r="Q9" i="1"/>
  <c r="M8" i="1"/>
  <c r="M10" i="1" s="1"/>
  <c r="M9" i="1"/>
  <c r="D8" i="1"/>
  <c r="D10" i="1" s="1"/>
  <c r="D9" i="1"/>
  <c r="L8" i="1"/>
  <c r="L10" i="1" s="1"/>
  <c r="L9" i="1"/>
  <c r="D35" i="10"/>
  <c r="C40" i="10"/>
  <c r="C18" i="2"/>
  <c r="M20" i="2" s="1"/>
  <c r="E155" i="2"/>
  <c r="D155" i="2"/>
  <c r="H155" i="2"/>
  <c r="L155" i="2"/>
  <c r="L64" i="6" s="1"/>
  <c r="R155" i="2"/>
  <c r="K160" i="2" s="1"/>
  <c r="F160" i="2" s="1"/>
  <c r="F92" i="1" s="1"/>
  <c r="Q23" i="1"/>
  <c r="Q155" i="2"/>
  <c r="J160" i="2" s="1"/>
  <c r="O160" i="2" s="1"/>
  <c r="J92" i="1" s="1"/>
  <c r="P23" i="1"/>
  <c r="P155" i="2"/>
  <c r="I160" i="2" s="1"/>
  <c r="O23" i="1"/>
  <c r="O155" i="2"/>
  <c r="N23" i="1"/>
  <c r="N155" i="2"/>
  <c r="N64" i="6" s="1"/>
  <c r="M23" i="1"/>
  <c r="M155" i="2"/>
  <c r="M64" i="6" s="1"/>
  <c r="K23" i="1"/>
  <c r="K155" i="2"/>
  <c r="K64" i="6" s="1"/>
  <c r="J23" i="1"/>
  <c r="J155" i="2"/>
  <c r="I23" i="1"/>
  <c r="I155" i="2"/>
  <c r="G23" i="1"/>
  <c r="G155" i="2"/>
  <c r="F23" i="1"/>
  <c r="F155" i="2"/>
  <c r="G8" i="1"/>
  <c r="D23" i="1"/>
  <c r="H23" i="1"/>
  <c r="R23" i="1"/>
  <c r="E23" i="1"/>
  <c r="L23" i="1"/>
  <c r="P21" i="1"/>
  <c r="Q21" i="1"/>
  <c r="O21" i="1"/>
  <c r="N21" i="1"/>
  <c r="M21" i="1"/>
  <c r="K21" i="1"/>
  <c r="J21" i="1"/>
  <c r="I21" i="1"/>
  <c r="G21" i="1"/>
  <c r="F21" i="1"/>
  <c r="R21" i="1"/>
  <c r="O5" i="2"/>
  <c r="O7" i="2" s="1"/>
  <c r="O18" i="2" s="1"/>
  <c r="G5" i="2"/>
  <c r="G7" i="2" s="1"/>
  <c r="G8" i="2" s="1"/>
  <c r="J5" i="2"/>
  <c r="J7" i="2" s="1"/>
  <c r="J8" i="2" s="1"/>
  <c r="R5" i="2"/>
  <c r="R7" i="2" s="1"/>
  <c r="K5" i="2"/>
  <c r="K7" i="2" s="1"/>
  <c r="K8" i="2" s="1"/>
  <c r="F5" i="2"/>
  <c r="F7" i="2" s="1"/>
  <c r="F8" i="2" s="1"/>
  <c r="N5" i="2"/>
  <c r="N7" i="2" s="1"/>
  <c r="N8" i="2" s="1"/>
  <c r="D5" i="2"/>
  <c r="D7" i="2" s="1"/>
  <c r="D8" i="2" s="1"/>
  <c r="H5" i="2"/>
  <c r="H7" i="2" s="1"/>
  <c r="H8" i="2" s="1"/>
  <c r="L5" i="2"/>
  <c r="L7" i="2" s="1"/>
  <c r="L8" i="2" s="1"/>
  <c r="P5" i="2"/>
  <c r="P7" i="2" s="1"/>
  <c r="P8" i="2" s="1"/>
  <c r="E5" i="2"/>
  <c r="E7" i="2" s="1"/>
  <c r="E8" i="2" s="1"/>
  <c r="I5" i="2"/>
  <c r="I7" i="2" s="1"/>
  <c r="M5" i="2"/>
  <c r="M7" i="2" s="1"/>
  <c r="M8" i="2" s="1"/>
  <c r="Q5" i="2"/>
  <c r="Q7" i="2" s="1"/>
  <c r="L21" i="1"/>
  <c r="D21" i="1"/>
  <c r="E21" i="1"/>
  <c r="H21" i="1"/>
  <c r="S9" i="1" l="1"/>
  <c r="S8" i="1"/>
  <c r="N65" i="6"/>
  <c r="N63" i="6"/>
  <c r="L65" i="6"/>
  <c r="L63" i="6"/>
  <c r="K65" i="6"/>
  <c r="K63" i="6"/>
  <c r="M65" i="6"/>
  <c r="M63" i="6"/>
  <c r="D36" i="10"/>
  <c r="D37" i="10" s="1"/>
  <c r="C41" i="10"/>
  <c r="H20" i="2"/>
  <c r="R20" i="2"/>
  <c r="C28" i="2" s="1"/>
  <c r="P20" i="2"/>
  <c r="C37" i="1"/>
  <c r="O37" i="1"/>
  <c r="G18" i="2"/>
  <c r="C36" i="1"/>
  <c r="H40" i="1" s="1"/>
  <c r="K18" i="2"/>
  <c r="I8" i="2"/>
  <c r="D18" i="2"/>
  <c r="M21" i="2" s="1"/>
  <c r="M18" i="2"/>
  <c r="E18" i="2"/>
  <c r="M22" i="2" s="1"/>
  <c r="L18" i="2"/>
  <c r="F18" i="2"/>
  <c r="M23" i="2" s="1"/>
  <c r="N18" i="2"/>
  <c r="J18" i="2"/>
  <c r="P18" i="2"/>
  <c r="O38" i="1"/>
  <c r="O8" i="2"/>
  <c r="Q8" i="2"/>
  <c r="R8" i="2"/>
  <c r="H18" i="2"/>
  <c r="N21" i="2" s="1"/>
  <c r="Q18" i="2"/>
  <c r="P22" i="2" s="1"/>
  <c r="G10" i="1"/>
  <c r="S10" i="1" s="1"/>
  <c r="I18" i="2"/>
  <c r="R18" i="2"/>
  <c r="C38" i="1"/>
  <c r="S23" i="1"/>
  <c r="P160" i="2"/>
  <c r="G165" i="2"/>
  <c r="G166" i="2" s="1"/>
  <c r="H165" i="2"/>
  <c r="H166" i="2" s="1"/>
  <c r="L160" i="2"/>
  <c r="G160" i="2" s="1"/>
  <c r="G92" i="1" s="1"/>
  <c r="E160" i="2"/>
  <c r="E92" i="1" s="1"/>
  <c r="O36" i="1"/>
  <c r="K40" i="1" s="1"/>
  <c r="S21" i="1"/>
  <c r="D38" i="10" l="1"/>
  <c r="D39" i="10" s="1"/>
  <c r="K22" i="2"/>
  <c r="U22" i="2"/>
  <c r="I21" i="2"/>
  <c r="S21" i="2"/>
  <c r="F36" i="2" s="1"/>
  <c r="K20" i="2"/>
  <c r="U20" i="2"/>
  <c r="H21" i="2"/>
  <c r="R21" i="2"/>
  <c r="C36" i="2" s="1"/>
  <c r="H23" i="2"/>
  <c r="R23" i="2"/>
  <c r="C53" i="2" s="1"/>
  <c r="H22" i="2"/>
  <c r="R22" i="2"/>
  <c r="O21" i="2"/>
  <c r="P23" i="2"/>
  <c r="O20" i="2"/>
  <c r="N20" i="2"/>
  <c r="O23" i="2"/>
  <c r="N23" i="2"/>
  <c r="O22" i="2"/>
  <c r="N22" i="2"/>
  <c r="S22" i="2" s="1"/>
  <c r="F44" i="2" s="1"/>
  <c r="P21" i="2"/>
  <c r="F37" i="1"/>
  <c r="E37" i="1"/>
  <c r="D36" i="1"/>
  <c r="H41" i="1" s="1"/>
  <c r="J37" i="1"/>
  <c r="N37" i="1"/>
  <c r="L37" i="1"/>
  <c r="I37" i="1"/>
  <c r="P37" i="1"/>
  <c r="K38" i="1"/>
  <c r="R37" i="1"/>
  <c r="M37" i="1"/>
  <c r="H37" i="1"/>
  <c r="Q38" i="1"/>
  <c r="D38" i="1"/>
  <c r="D37" i="1"/>
  <c r="Q36" i="1"/>
  <c r="K42" i="1" s="1"/>
  <c r="Q37" i="1"/>
  <c r="K36" i="1"/>
  <c r="J40" i="1" s="1"/>
  <c r="K37" i="1"/>
  <c r="G36" i="1"/>
  <c r="I40" i="1" s="1"/>
  <c r="G37" i="1"/>
  <c r="G38" i="1"/>
  <c r="R38" i="1"/>
  <c r="M38" i="1"/>
  <c r="R36" i="1"/>
  <c r="K43" i="1" s="1"/>
  <c r="J38" i="1"/>
  <c r="L36" i="1"/>
  <c r="J41" i="1" s="1"/>
  <c r="F38" i="1"/>
  <c r="F36" i="1"/>
  <c r="H43" i="1" s="1"/>
  <c r="M36" i="1"/>
  <c r="J42" i="1" s="1"/>
  <c r="N38" i="1"/>
  <c r="L38" i="1"/>
  <c r="E38" i="1"/>
  <c r="P36" i="1"/>
  <c r="K41" i="1" s="1"/>
  <c r="N36" i="1"/>
  <c r="J43" i="1" s="1"/>
  <c r="H36" i="1"/>
  <c r="I41" i="1" s="1"/>
  <c r="P38" i="1"/>
  <c r="H38" i="1"/>
  <c r="I36" i="1"/>
  <c r="I42" i="1" s="1"/>
  <c r="J36" i="1"/>
  <c r="I43" i="1" s="1"/>
  <c r="E36" i="1"/>
  <c r="H42" i="1" s="1"/>
  <c r="I38" i="1"/>
  <c r="K165" i="2"/>
  <c r="K166" i="2" s="1"/>
  <c r="K92" i="1"/>
  <c r="J165" i="2"/>
  <c r="J166" i="2" s="1"/>
  <c r="G169" i="2"/>
  <c r="J174" i="2" s="1"/>
  <c r="Q160" i="2"/>
  <c r="L92" i="1" s="1"/>
  <c r="N160" i="2"/>
  <c r="D160" i="2"/>
  <c r="D92" i="1" s="1"/>
  <c r="P42" i="1" l="1"/>
  <c r="L44" i="2"/>
  <c r="M42" i="1"/>
  <c r="C44" i="2"/>
  <c r="P40" i="1"/>
  <c r="L28" i="2"/>
  <c r="E35" i="10"/>
  <c r="D40" i="10"/>
  <c r="D41" i="10" s="1"/>
  <c r="J20" i="2"/>
  <c r="T20" i="2"/>
  <c r="J21" i="2"/>
  <c r="T21" i="2"/>
  <c r="K21" i="2"/>
  <c r="U21" i="2"/>
  <c r="K23" i="2"/>
  <c r="U23" i="2"/>
  <c r="J22" i="2"/>
  <c r="T22" i="2"/>
  <c r="I23" i="2"/>
  <c r="S23" i="2"/>
  <c r="I20" i="2"/>
  <c r="S20" i="2"/>
  <c r="J23" i="2"/>
  <c r="T23" i="2"/>
  <c r="I22" i="2"/>
  <c r="N42" i="1"/>
  <c r="M43" i="1"/>
  <c r="N41" i="1"/>
  <c r="D45" i="2"/>
  <c r="D46" i="2" s="1"/>
  <c r="C45" i="2"/>
  <c r="C46" i="2" s="1"/>
  <c r="M40" i="1"/>
  <c r="C29" i="2"/>
  <c r="C30" i="2" s="1"/>
  <c r="C32" i="2" s="1"/>
  <c r="M41" i="1"/>
  <c r="C37" i="2"/>
  <c r="C38" i="2" s="1"/>
  <c r="D29" i="2"/>
  <c r="D30" i="2" s="1"/>
  <c r="E174" i="2"/>
  <c r="E97" i="1" s="1"/>
  <c r="O174" i="2"/>
  <c r="J97" i="1" s="1"/>
  <c r="J169" i="2"/>
  <c r="J170" i="2" s="1"/>
  <c r="D165" i="2"/>
  <c r="I92" i="1"/>
  <c r="G170" i="2"/>
  <c r="G187" i="2"/>
  <c r="L45" i="2"/>
  <c r="M45" i="2"/>
  <c r="D37" i="2"/>
  <c r="D38" i="2" s="1"/>
  <c r="L29" i="2"/>
  <c r="L30" i="2" s="1"/>
  <c r="M29" i="2"/>
  <c r="M30" i="2" s="1"/>
  <c r="M165" i="2"/>
  <c r="M166" i="2" s="1"/>
  <c r="N165" i="2"/>
  <c r="E165" i="2"/>
  <c r="E166" i="2" s="1"/>
  <c r="P43" i="1" l="1"/>
  <c r="L53" i="2"/>
  <c r="J54" i="2"/>
  <c r="I53" i="2"/>
  <c r="F54" i="2"/>
  <c r="F53" i="2"/>
  <c r="I45" i="2"/>
  <c r="I46" i="2" s="1"/>
  <c r="I44" i="2"/>
  <c r="P41" i="1"/>
  <c r="L36" i="2"/>
  <c r="O41" i="1"/>
  <c r="I36" i="2"/>
  <c r="O40" i="1"/>
  <c r="I28" i="2"/>
  <c r="G29" i="2"/>
  <c r="G30" i="2" s="1"/>
  <c r="F28" i="2"/>
  <c r="E36" i="10"/>
  <c r="O43" i="1"/>
  <c r="I54" i="2"/>
  <c r="I55" i="2" s="1"/>
  <c r="J45" i="2"/>
  <c r="J46" i="2" s="1"/>
  <c r="N43" i="1"/>
  <c r="G54" i="2"/>
  <c r="G55" i="2" s="1"/>
  <c r="O42" i="1"/>
  <c r="J37" i="2"/>
  <c r="J38" i="2" s="1"/>
  <c r="I37" i="2"/>
  <c r="I38" i="2" s="1"/>
  <c r="J29" i="2"/>
  <c r="J30" i="2" s="1"/>
  <c r="I29" i="2"/>
  <c r="I30" i="2" s="1"/>
  <c r="N40" i="1"/>
  <c r="F29" i="2"/>
  <c r="F30" i="2" s="1"/>
  <c r="L54" i="2"/>
  <c r="L55" i="2" s="1"/>
  <c r="G45" i="2"/>
  <c r="G46" i="2" s="1"/>
  <c r="F45" i="2"/>
  <c r="F46" i="2" s="1"/>
  <c r="G37" i="2"/>
  <c r="G38" i="2" s="1"/>
  <c r="M54" i="2"/>
  <c r="M55" i="2" s="1"/>
  <c r="D54" i="2"/>
  <c r="M37" i="2"/>
  <c r="M38" i="2" s="1"/>
  <c r="L37" i="2"/>
  <c r="L38" i="2" s="1"/>
  <c r="C54" i="2"/>
  <c r="D166" i="2"/>
  <c r="D169" i="2" s="1"/>
  <c r="D187" i="2" s="1"/>
  <c r="N166" i="2"/>
  <c r="M169" i="2" s="1"/>
  <c r="L174" i="2" s="1"/>
  <c r="F37" i="2"/>
  <c r="F38" i="2" s="1"/>
  <c r="M61" i="2"/>
  <c r="H61" i="2" s="1"/>
  <c r="H48" i="1" s="1"/>
  <c r="J55" i="2"/>
  <c r="G190" i="2"/>
  <c r="F108" i="1"/>
  <c r="F111" i="1" s="1"/>
  <c r="J187" i="2"/>
  <c r="J190" i="2" s="1"/>
  <c r="E195" i="2" s="1"/>
  <c r="E199" i="2" s="1"/>
  <c r="K174" i="2"/>
  <c r="C48" i="2"/>
  <c r="C49" i="2" s="1"/>
  <c r="M46" i="2"/>
  <c r="L46" i="2"/>
  <c r="C40" i="2"/>
  <c r="L32" i="2"/>
  <c r="E163" i="5" l="1"/>
  <c r="D195" i="2"/>
  <c r="D199" i="2" s="1"/>
  <c r="D15" i="5" s="1"/>
  <c r="F55" i="2"/>
  <c r="F57" i="2" s="1"/>
  <c r="F58" i="2" s="1"/>
  <c r="D55" i="2"/>
  <c r="C55" i="2"/>
  <c r="G191" i="2"/>
  <c r="E159" i="5"/>
  <c r="J191" i="2"/>
  <c r="E37" i="10"/>
  <c r="H199" i="2"/>
  <c r="H159" i="5" s="1"/>
  <c r="D120" i="1"/>
  <c r="I40" i="2"/>
  <c r="I41" i="2" s="1"/>
  <c r="I32" i="2"/>
  <c r="O61" i="2" s="1"/>
  <c r="F32" i="2"/>
  <c r="N61" i="2" s="1"/>
  <c r="I174" i="2"/>
  <c r="D174" i="2" s="1"/>
  <c r="D97" i="1" s="1"/>
  <c r="C108" i="1"/>
  <c r="C111" i="1" s="1"/>
  <c r="F40" i="2"/>
  <c r="N62" i="2" s="1"/>
  <c r="M71" i="2" s="1"/>
  <c r="E87" i="2" s="1"/>
  <c r="L40" i="2"/>
  <c r="L41" i="2" s="1"/>
  <c r="L57" i="2"/>
  <c r="P64" i="2" s="1"/>
  <c r="M73" i="2" s="1"/>
  <c r="I57" i="2"/>
  <c r="I58" i="2" s="1"/>
  <c r="C33" i="2"/>
  <c r="M70" i="2"/>
  <c r="E86" i="2" s="1"/>
  <c r="D92" i="2" s="1"/>
  <c r="I108" i="1"/>
  <c r="I111" i="1" s="1"/>
  <c r="D170" i="2"/>
  <c r="G174" i="2"/>
  <c r="G97" i="1" s="1"/>
  <c r="Q174" i="2"/>
  <c r="L97" i="1" s="1"/>
  <c r="P174" i="2"/>
  <c r="K97" i="1" s="1"/>
  <c r="F174" i="2"/>
  <c r="F97" i="1" s="1"/>
  <c r="F48" i="2"/>
  <c r="N63" i="2" s="1"/>
  <c r="P72" i="2" s="1"/>
  <c r="M63" i="2"/>
  <c r="O72" i="2" s="1"/>
  <c r="J72" i="2" s="1"/>
  <c r="I48" i="2"/>
  <c r="L48" i="2"/>
  <c r="L49" i="2" s="1"/>
  <c r="M170" i="2"/>
  <c r="M187" i="2"/>
  <c r="R61" i="2"/>
  <c r="M48" i="1" s="1"/>
  <c r="L33" i="2"/>
  <c r="P61" i="2"/>
  <c r="C41" i="2"/>
  <c r="M62" i="2"/>
  <c r="P71" i="2" s="1"/>
  <c r="D119" i="1" l="1"/>
  <c r="D206" i="2"/>
  <c r="C57" i="2"/>
  <c r="M64" i="2" s="1"/>
  <c r="N73" i="2" s="1"/>
  <c r="S73" i="2" s="1"/>
  <c r="N61" i="1" s="1"/>
  <c r="D159" i="5"/>
  <c r="H163" i="5" s="1"/>
  <c r="H167" i="5" s="1"/>
  <c r="H172" i="5" s="1"/>
  <c r="D121" i="1"/>
  <c r="D163" i="5"/>
  <c r="L163" i="5"/>
  <c r="I163" i="5"/>
  <c r="H15" i="5"/>
  <c r="I199" i="2"/>
  <c r="I120" i="1" s="1"/>
  <c r="E15" i="5"/>
  <c r="E120" i="1"/>
  <c r="E38" i="10"/>
  <c r="I33" i="2"/>
  <c r="L199" i="2"/>
  <c r="L159" i="5" s="1"/>
  <c r="H120" i="1"/>
  <c r="N174" i="2"/>
  <c r="I97" i="1" s="1"/>
  <c r="O62" i="2"/>
  <c r="N71" i="2" s="1"/>
  <c r="I71" i="2" s="1"/>
  <c r="F33" i="2"/>
  <c r="F41" i="2"/>
  <c r="P62" i="2"/>
  <c r="O71" i="2" s="1"/>
  <c r="M87" i="2" s="1"/>
  <c r="Y118" i="2" s="1"/>
  <c r="Y120" i="2" s="1"/>
  <c r="H121" i="1"/>
  <c r="H206" i="2"/>
  <c r="E121" i="1"/>
  <c r="E206" i="2"/>
  <c r="I49" i="2"/>
  <c r="D105" i="2"/>
  <c r="D107" i="2" s="1"/>
  <c r="D118" i="2"/>
  <c r="D94" i="2"/>
  <c r="D131" i="2"/>
  <c r="L58" i="2"/>
  <c r="N64" i="2"/>
  <c r="O73" i="2" s="1"/>
  <c r="M89" i="2" s="1"/>
  <c r="AA118" i="2" s="1"/>
  <c r="AA120" i="2" s="1"/>
  <c r="O64" i="2"/>
  <c r="P73" i="2" s="1"/>
  <c r="K73" i="2" s="1"/>
  <c r="H70" i="2"/>
  <c r="R70" i="2"/>
  <c r="M58" i="1" s="1"/>
  <c r="E119" i="1"/>
  <c r="H119" i="1"/>
  <c r="M190" i="2"/>
  <c r="F195" i="2" s="1"/>
  <c r="F199" i="2" s="1"/>
  <c r="L108" i="1"/>
  <c r="L111" i="1" s="1"/>
  <c r="D190" i="2"/>
  <c r="F49" i="2"/>
  <c r="P63" i="2"/>
  <c r="N72" i="2" s="1"/>
  <c r="S72" i="2" s="1"/>
  <c r="N60" i="1" s="1"/>
  <c r="M88" i="2"/>
  <c r="O63" i="2"/>
  <c r="M72" i="2" s="1"/>
  <c r="E88" i="2" s="1"/>
  <c r="F118" i="2" s="1"/>
  <c r="F120" i="2" s="1"/>
  <c r="F121" i="2" s="1"/>
  <c r="H63" i="2"/>
  <c r="H50" i="1" s="1"/>
  <c r="H60" i="1" s="1"/>
  <c r="R63" i="2"/>
  <c r="M50" i="1" s="1"/>
  <c r="K72" i="2"/>
  <c r="Q88" i="2"/>
  <c r="K71" i="2"/>
  <c r="Q87" i="2"/>
  <c r="H73" i="2"/>
  <c r="E89" i="2"/>
  <c r="G118" i="2" s="1"/>
  <c r="G120" i="2" s="1"/>
  <c r="G121" i="2" s="1"/>
  <c r="H71" i="2"/>
  <c r="E118" i="2"/>
  <c r="E120" i="2" s="1"/>
  <c r="E121" i="2" s="1"/>
  <c r="K61" i="2"/>
  <c r="K48" i="1" s="1"/>
  <c r="P70" i="2"/>
  <c r="J61" i="2"/>
  <c r="J48" i="1" s="1"/>
  <c r="O70" i="2"/>
  <c r="M86" i="2" s="1"/>
  <c r="I61" i="2"/>
  <c r="I48" i="1" s="1"/>
  <c r="N70" i="2"/>
  <c r="I86" i="2" s="1"/>
  <c r="N118" i="2" s="1"/>
  <c r="K64" i="2"/>
  <c r="K51" i="1" s="1"/>
  <c r="R73" i="2"/>
  <c r="M61" i="1" s="1"/>
  <c r="I63" i="2"/>
  <c r="I50" i="1" s="1"/>
  <c r="U72" i="2"/>
  <c r="P60" i="1" s="1"/>
  <c r="H62" i="2"/>
  <c r="H49" i="1" s="1"/>
  <c r="U71" i="2"/>
  <c r="P59" i="1" s="1"/>
  <c r="I62" i="2"/>
  <c r="I49" i="1" s="1"/>
  <c r="R71" i="2"/>
  <c r="M59" i="1" s="1"/>
  <c r="H58" i="1"/>
  <c r="S63" i="2"/>
  <c r="N50" i="1" s="1"/>
  <c r="U64" i="2"/>
  <c r="P51" i="1" s="1"/>
  <c r="R62" i="2"/>
  <c r="M49" i="1" s="1"/>
  <c r="S62" i="2"/>
  <c r="N49" i="1" s="1"/>
  <c r="S61" i="2"/>
  <c r="N48" i="1" s="1"/>
  <c r="T61" i="2"/>
  <c r="O48" i="1" s="1"/>
  <c r="U61" i="2"/>
  <c r="P48" i="1" s="1"/>
  <c r="C58" i="2" l="1"/>
  <c r="H64" i="2"/>
  <c r="H51" i="1" s="1"/>
  <c r="H61" i="1" s="1"/>
  <c r="R64" i="2"/>
  <c r="M51" i="1" s="1"/>
  <c r="I89" i="2"/>
  <c r="Q118" i="2" s="1"/>
  <c r="Q120" i="2" s="1"/>
  <c r="Q121" i="2" s="1"/>
  <c r="Q122" i="2" s="1"/>
  <c r="I73" i="2"/>
  <c r="M199" i="2"/>
  <c r="M159" i="5" s="1"/>
  <c r="Q163" i="5" s="1"/>
  <c r="F163" i="5"/>
  <c r="C195" i="2"/>
  <c r="C199" i="2" s="1"/>
  <c r="P163" i="5"/>
  <c r="L167" i="5"/>
  <c r="L172" i="5" s="1"/>
  <c r="I159" i="5"/>
  <c r="H64" i="6"/>
  <c r="L120" i="1"/>
  <c r="I15" i="5"/>
  <c r="D191" i="2"/>
  <c r="M191" i="2"/>
  <c r="E39" i="10"/>
  <c r="D95" i="2"/>
  <c r="L15" i="5"/>
  <c r="J62" i="2"/>
  <c r="J49" i="1" s="1"/>
  <c r="J59" i="1" s="1"/>
  <c r="S71" i="2"/>
  <c r="N59" i="1" s="1"/>
  <c r="T62" i="2"/>
  <c r="O49" i="1" s="1"/>
  <c r="I87" i="2"/>
  <c r="O118" i="2" s="1"/>
  <c r="O120" i="2" s="1"/>
  <c r="O121" i="2" s="1"/>
  <c r="O122" i="2" s="1"/>
  <c r="K62" i="2"/>
  <c r="K49" i="1" s="1"/>
  <c r="K59" i="1" s="1"/>
  <c r="T71" i="2"/>
  <c r="O59" i="1" s="1"/>
  <c r="U62" i="2"/>
  <c r="P49" i="1" s="1"/>
  <c r="J71" i="2"/>
  <c r="I121" i="1"/>
  <c r="I206" i="2"/>
  <c r="L119" i="1"/>
  <c r="L206" i="2"/>
  <c r="X92" i="2"/>
  <c r="X94" i="2" s="1"/>
  <c r="X95" i="2" s="1"/>
  <c r="X118" i="2"/>
  <c r="AJ92" i="2"/>
  <c r="AJ94" i="2" s="1"/>
  <c r="AJ95" i="2" s="1"/>
  <c r="AJ131" i="2"/>
  <c r="AJ133" i="2" s="1"/>
  <c r="AJ118" i="2"/>
  <c r="AJ120" i="2" s="1"/>
  <c r="AI92" i="2"/>
  <c r="AI94" i="2" s="1"/>
  <c r="AI95" i="2" s="1"/>
  <c r="AI131" i="2"/>
  <c r="AI133" i="2" s="1"/>
  <c r="AI118" i="2"/>
  <c r="AI120" i="2" s="1"/>
  <c r="AA121" i="2"/>
  <c r="AA122" i="2" s="1"/>
  <c r="Y121" i="2"/>
  <c r="Y122" i="2" s="1"/>
  <c r="Z92" i="2"/>
  <c r="Z94" i="2" s="1"/>
  <c r="Z95" i="2" s="1"/>
  <c r="Z118" i="2"/>
  <c r="Z120" i="2" s="1"/>
  <c r="N120" i="2"/>
  <c r="D133" i="2"/>
  <c r="H118" i="2"/>
  <c r="D120" i="2"/>
  <c r="D121" i="2" s="1"/>
  <c r="I118" i="2"/>
  <c r="D108" i="2"/>
  <c r="E131" i="2"/>
  <c r="E133" i="2" s="1"/>
  <c r="E92" i="2"/>
  <c r="E94" i="2" s="1"/>
  <c r="E95" i="2" s="1"/>
  <c r="F131" i="2"/>
  <c r="F133" i="2" s="1"/>
  <c r="F92" i="2"/>
  <c r="F94" i="2" s="1"/>
  <c r="F95" i="2" s="1"/>
  <c r="G131" i="2"/>
  <c r="G133" i="2" s="1"/>
  <c r="G92" i="2"/>
  <c r="G94" i="2" s="1"/>
  <c r="G95" i="2" s="1"/>
  <c r="Y131" i="2"/>
  <c r="Y133" i="2" s="1"/>
  <c r="X131" i="2"/>
  <c r="AA131" i="2"/>
  <c r="AA133" i="2" s="1"/>
  <c r="Z131" i="2"/>
  <c r="Z133" i="2" s="1"/>
  <c r="N131" i="2"/>
  <c r="Q131" i="2"/>
  <c r="Q133" i="2" s="1"/>
  <c r="F105" i="2"/>
  <c r="F107" i="2" s="1"/>
  <c r="F108" i="2" s="1"/>
  <c r="E105" i="2"/>
  <c r="E107" i="2" s="1"/>
  <c r="E108" i="2" s="1"/>
  <c r="G105" i="2"/>
  <c r="G107" i="2" s="1"/>
  <c r="G108" i="2" s="1"/>
  <c r="AJ105" i="2"/>
  <c r="AJ107" i="2" s="1"/>
  <c r="AJ108" i="2" s="1"/>
  <c r="AI105" i="2"/>
  <c r="AI107" i="2" s="1"/>
  <c r="AI108" i="2" s="1"/>
  <c r="AA92" i="2"/>
  <c r="AA94" i="2" s="1"/>
  <c r="AA95" i="2" s="1"/>
  <c r="AA105" i="2"/>
  <c r="AA107" i="2" s="1"/>
  <c r="AA108" i="2" s="1"/>
  <c r="X105" i="2"/>
  <c r="X107" i="2" s="1"/>
  <c r="X108" i="2" s="1"/>
  <c r="Y92" i="2"/>
  <c r="Y94" i="2" s="1"/>
  <c r="Y95" i="2" s="1"/>
  <c r="Y105" i="2"/>
  <c r="Y107" i="2" s="1"/>
  <c r="Y108" i="2" s="1"/>
  <c r="Z105" i="2"/>
  <c r="Z107" i="2" s="1"/>
  <c r="Z108" i="2" s="1"/>
  <c r="Q92" i="2"/>
  <c r="Q94" i="2" s="1"/>
  <c r="Q105" i="2"/>
  <c r="Q107" i="2" s="1"/>
  <c r="Q108" i="2" s="1"/>
  <c r="N92" i="2"/>
  <c r="N94" i="2" s="1"/>
  <c r="N95" i="2" s="1"/>
  <c r="N96" i="2" s="1"/>
  <c r="N97" i="2" s="1"/>
  <c r="N105" i="2"/>
  <c r="N107" i="2" s="1"/>
  <c r="N108" i="2" s="1"/>
  <c r="S64" i="2"/>
  <c r="N51" i="1" s="1"/>
  <c r="J73" i="2"/>
  <c r="T64" i="2"/>
  <c r="O51" i="1" s="1"/>
  <c r="U73" i="2"/>
  <c r="P61" i="1" s="1"/>
  <c r="Q89" i="2"/>
  <c r="T73" i="2"/>
  <c r="O61" i="1" s="1"/>
  <c r="I64" i="2"/>
  <c r="I51" i="1" s="1"/>
  <c r="I61" i="1" s="1"/>
  <c r="J64" i="2"/>
  <c r="J51" i="1" s="1"/>
  <c r="J61" i="1" s="1"/>
  <c r="P199" i="2"/>
  <c r="P159" i="5" s="1"/>
  <c r="L121" i="1"/>
  <c r="I119" i="1"/>
  <c r="K63" i="2"/>
  <c r="K50" i="1" s="1"/>
  <c r="K60" i="1" s="1"/>
  <c r="T63" i="2"/>
  <c r="O50" i="1" s="1"/>
  <c r="U63" i="2"/>
  <c r="P50" i="1" s="1"/>
  <c r="I72" i="2"/>
  <c r="I88" i="2"/>
  <c r="J63" i="2"/>
  <c r="J50" i="1" s="1"/>
  <c r="J60" i="1" s="1"/>
  <c r="H72" i="2"/>
  <c r="R72" i="2"/>
  <c r="M60" i="1" s="1"/>
  <c r="K70" i="2"/>
  <c r="Q86" i="2"/>
  <c r="U70" i="2"/>
  <c r="P58" i="1" s="1"/>
  <c r="T70" i="2"/>
  <c r="O58" i="1" s="1"/>
  <c r="J70" i="2"/>
  <c r="S70" i="2"/>
  <c r="N58" i="1" s="1"/>
  <c r="I70" i="2"/>
  <c r="T72" i="2"/>
  <c r="O60" i="1" s="1"/>
  <c r="J58" i="1"/>
  <c r="K58" i="1"/>
  <c r="I58" i="1"/>
  <c r="I59" i="1"/>
  <c r="K61" i="1"/>
  <c r="I60" i="1"/>
  <c r="H59" i="1"/>
  <c r="M15" i="5" l="1"/>
  <c r="M120" i="1"/>
  <c r="C163" i="5"/>
  <c r="D167" i="5"/>
  <c r="D172" i="5" s="1"/>
  <c r="P167" i="5"/>
  <c r="P172" i="5" s="1"/>
  <c r="M163" i="5"/>
  <c r="M167" i="5" s="1"/>
  <c r="M172" i="5" s="1"/>
  <c r="I167" i="5"/>
  <c r="F15" i="5"/>
  <c r="F159" i="5"/>
  <c r="C159" i="5"/>
  <c r="C167" i="5" s="1"/>
  <c r="H65" i="6"/>
  <c r="H63" i="6"/>
  <c r="F121" i="1"/>
  <c r="F119" i="1"/>
  <c r="C15" i="5"/>
  <c r="C206" i="2"/>
  <c r="F120" i="1"/>
  <c r="P120" i="1"/>
  <c r="C120" i="1"/>
  <c r="G199" i="2"/>
  <c r="J199" i="2"/>
  <c r="F206" i="2"/>
  <c r="O105" i="2"/>
  <c r="O107" i="2" s="1"/>
  <c r="O108" i="2" s="1"/>
  <c r="O92" i="2"/>
  <c r="O94" i="2" s="1"/>
  <c r="O95" i="2" s="1"/>
  <c r="O96" i="2" s="1"/>
  <c r="O97" i="2" s="1"/>
  <c r="E40" i="10"/>
  <c r="O131" i="2"/>
  <c r="O133" i="2" s="1"/>
  <c r="P206" i="2"/>
  <c r="P15" i="5"/>
  <c r="H120" i="2"/>
  <c r="M119" i="1"/>
  <c r="M206" i="2"/>
  <c r="AA123" i="2"/>
  <c r="AA124" i="2" s="1"/>
  <c r="Q123" i="2"/>
  <c r="Q124" i="2" s="1"/>
  <c r="O123" i="2"/>
  <c r="O124" i="2" s="1"/>
  <c r="Y123" i="2"/>
  <c r="Y124" i="2" s="1"/>
  <c r="AH131" i="2"/>
  <c r="AH118" i="2"/>
  <c r="N133" i="2"/>
  <c r="AI121" i="2"/>
  <c r="AI122" i="2" s="1"/>
  <c r="H131" i="2"/>
  <c r="I131" i="2"/>
  <c r="X133" i="2"/>
  <c r="AC131" i="2"/>
  <c r="AB131" i="2"/>
  <c r="AJ121" i="2"/>
  <c r="AJ122" i="2" s="1"/>
  <c r="AK131" i="2"/>
  <c r="AK133" i="2" s="1"/>
  <c r="AK118" i="2"/>
  <c r="AK120" i="2" s="1"/>
  <c r="N121" i="2"/>
  <c r="N122" i="2" s="1"/>
  <c r="Q95" i="2"/>
  <c r="Q96" i="2" s="1"/>
  <c r="Q97" i="2" s="1"/>
  <c r="P131" i="2"/>
  <c r="P133" i="2" s="1"/>
  <c r="P118" i="2"/>
  <c r="Z121" i="2"/>
  <c r="Z122" i="2" s="1"/>
  <c r="X120" i="2"/>
  <c r="AC118" i="2"/>
  <c r="AB118" i="2"/>
  <c r="I133" i="2"/>
  <c r="H133" i="2"/>
  <c r="G122" i="2"/>
  <c r="G123" i="2" s="1"/>
  <c r="F122" i="2"/>
  <c r="F123" i="2" s="1"/>
  <c r="E122" i="2"/>
  <c r="E123" i="2" s="1"/>
  <c r="AC105" i="2"/>
  <c r="AB105" i="2"/>
  <c r="I120" i="2"/>
  <c r="I107" i="2"/>
  <c r="H107" i="2"/>
  <c r="H105" i="2"/>
  <c r="I105" i="2"/>
  <c r="AB94" i="2"/>
  <c r="AC94" i="2"/>
  <c r="AH92" i="2"/>
  <c r="AH94" i="2" s="1"/>
  <c r="AH95" i="2" s="1"/>
  <c r="AC92" i="2"/>
  <c r="AK92" i="2"/>
  <c r="AK94" i="2" s="1"/>
  <c r="AK95" i="2" s="1"/>
  <c r="AB92" i="2"/>
  <c r="H92" i="2"/>
  <c r="I92" i="2"/>
  <c r="AK105" i="2"/>
  <c r="AK107" i="2" s="1"/>
  <c r="AK108" i="2" s="1"/>
  <c r="AH105" i="2"/>
  <c r="AH107" i="2" s="1"/>
  <c r="AH108" i="2" s="1"/>
  <c r="P105" i="2"/>
  <c r="P107" i="2" s="1"/>
  <c r="P108" i="2" s="1"/>
  <c r="P92" i="2"/>
  <c r="P94" i="2" s="1"/>
  <c r="P119" i="1"/>
  <c r="P121" i="1"/>
  <c r="M121" i="1"/>
  <c r="Q199" i="2"/>
  <c r="Q159" i="5" s="1"/>
  <c r="C119" i="1"/>
  <c r="C121" i="1"/>
  <c r="I172" i="5" l="1"/>
  <c r="I64" i="6" s="1"/>
  <c r="G163" i="5"/>
  <c r="J163" i="5"/>
  <c r="E167" i="5"/>
  <c r="E172" i="5" s="1"/>
  <c r="Q167" i="5"/>
  <c r="Q172" i="5" s="1"/>
  <c r="J206" i="2"/>
  <c r="J159" i="5"/>
  <c r="G120" i="1"/>
  <c r="G159" i="5"/>
  <c r="D64" i="6"/>
  <c r="P64" i="6"/>
  <c r="G119" i="1"/>
  <c r="J121" i="1"/>
  <c r="N199" i="2"/>
  <c r="R199" i="2" s="1"/>
  <c r="R159" i="5" s="1"/>
  <c r="G206" i="2"/>
  <c r="G121" i="1"/>
  <c r="K199" i="2"/>
  <c r="J120" i="1"/>
  <c r="J15" i="5"/>
  <c r="Q120" i="1"/>
  <c r="J119" i="1"/>
  <c r="G15" i="5"/>
  <c r="E41" i="10"/>
  <c r="F35" i="10"/>
  <c r="G33" i="10"/>
  <c r="H33" i="10"/>
  <c r="Q206" i="2"/>
  <c r="Q15" i="5"/>
  <c r="R131" i="2"/>
  <c r="S131" i="2"/>
  <c r="Z123" i="2"/>
  <c r="Z124" i="2" s="1"/>
  <c r="O125" i="2"/>
  <c r="O126" i="2" s="1"/>
  <c r="AI123" i="2"/>
  <c r="AI124" i="2" s="1"/>
  <c r="Y125" i="2"/>
  <c r="Y126" i="2" s="1"/>
  <c r="AJ123" i="2"/>
  <c r="AJ124" i="2" s="1"/>
  <c r="S133" i="2"/>
  <c r="R133" i="2"/>
  <c r="N123" i="2"/>
  <c r="AK121" i="2"/>
  <c r="AK122" i="2" s="1"/>
  <c r="AH120" i="2"/>
  <c r="AL118" i="2"/>
  <c r="AM118" i="2"/>
  <c r="AH133" i="2"/>
  <c r="AM131" i="2"/>
  <c r="AL131" i="2"/>
  <c r="P95" i="2"/>
  <c r="P96" i="2" s="1"/>
  <c r="P97" i="2" s="1"/>
  <c r="AC120" i="2"/>
  <c r="X121" i="2"/>
  <c r="AB120" i="2"/>
  <c r="AC133" i="2"/>
  <c r="AB133" i="2"/>
  <c r="Q125" i="2"/>
  <c r="Q126" i="2" s="1"/>
  <c r="P120" i="2"/>
  <c r="S118" i="2"/>
  <c r="R118" i="2"/>
  <c r="AA125" i="2"/>
  <c r="AA126" i="2" s="1"/>
  <c r="G134" i="2"/>
  <c r="G135" i="2" s="1"/>
  <c r="F134" i="2"/>
  <c r="F135" i="2" s="1"/>
  <c r="E134" i="2"/>
  <c r="E135" i="2" s="1"/>
  <c r="D134" i="2"/>
  <c r="R105" i="2"/>
  <c r="S105" i="2"/>
  <c r="S107" i="2"/>
  <c r="R107" i="2"/>
  <c r="AM105" i="2"/>
  <c r="AL105" i="2"/>
  <c r="AC107" i="2"/>
  <c r="AB107" i="2"/>
  <c r="H121" i="2"/>
  <c r="I121" i="2"/>
  <c r="D122" i="2"/>
  <c r="D123" i="2" s="1"/>
  <c r="R92" i="2"/>
  <c r="G109" i="2"/>
  <c r="G110" i="2" s="1"/>
  <c r="E109" i="2"/>
  <c r="E110" i="2" s="1"/>
  <c r="F109" i="2"/>
  <c r="F110" i="2" s="1"/>
  <c r="H94" i="2"/>
  <c r="AM92" i="2"/>
  <c r="AL92" i="2"/>
  <c r="AA96" i="2"/>
  <c r="AA97" i="2" s="1"/>
  <c r="Z96" i="2"/>
  <c r="Z97" i="2" s="1"/>
  <c r="Y96" i="2"/>
  <c r="Y97" i="2" s="1"/>
  <c r="S92" i="2"/>
  <c r="I94" i="2"/>
  <c r="Q119" i="1"/>
  <c r="Q121" i="1"/>
  <c r="G167" i="5" l="1"/>
  <c r="G172" i="5" s="1"/>
  <c r="G64" i="6" s="1"/>
  <c r="I65" i="6"/>
  <c r="I63" i="6"/>
  <c r="K163" i="5"/>
  <c r="N163" i="5"/>
  <c r="J167" i="5"/>
  <c r="F167" i="5"/>
  <c r="F172" i="5" s="1"/>
  <c r="N15" i="5"/>
  <c r="N121" i="1"/>
  <c r="K15" i="5"/>
  <c r="K159" i="5"/>
  <c r="N119" i="1"/>
  <c r="N159" i="5"/>
  <c r="N120" i="1"/>
  <c r="K121" i="1"/>
  <c r="O199" i="2"/>
  <c r="O120" i="1" s="1"/>
  <c r="E64" i="6"/>
  <c r="Q64" i="6"/>
  <c r="P65" i="6"/>
  <c r="P63" i="6"/>
  <c r="D63" i="6"/>
  <c r="D65" i="6"/>
  <c r="K206" i="2"/>
  <c r="K119" i="1"/>
  <c r="K120" i="1"/>
  <c r="N206" i="2"/>
  <c r="R120" i="1"/>
  <c r="F36" i="10"/>
  <c r="G35" i="10"/>
  <c r="H35" i="10"/>
  <c r="R206" i="2"/>
  <c r="R15" i="5"/>
  <c r="AK123" i="2"/>
  <c r="AK124" i="2" s="1"/>
  <c r="AJ125" i="2"/>
  <c r="AJ126" i="2" s="1"/>
  <c r="Z125" i="2"/>
  <c r="Z126" i="2" s="1"/>
  <c r="AC121" i="2"/>
  <c r="AB121" i="2"/>
  <c r="P134" i="2"/>
  <c r="P135" i="2" s="1"/>
  <c r="N134" i="2"/>
  <c r="Q134" i="2"/>
  <c r="Q135" i="2" s="1"/>
  <c r="O134" i="2"/>
  <c r="O135" i="2" s="1"/>
  <c r="AL133" i="2"/>
  <c r="AM133" i="2"/>
  <c r="P121" i="2"/>
  <c r="P122" i="2" s="1"/>
  <c r="R120" i="2"/>
  <c r="S120" i="2"/>
  <c r="AL120" i="2"/>
  <c r="AH121" i="2"/>
  <c r="AH122" i="2" s="1"/>
  <c r="AM120" i="2"/>
  <c r="AI125" i="2"/>
  <c r="AI126" i="2" s="1"/>
  <c r="Y134" i="2"/>
  <c r="Y135" i="2" s="1"/>
  <c r="X134" i="2"/>
  <c r="AA134" i="2"/>
  <c r="AA135" i="2" s="1"/>
  <c r="Z134" i="2"/>
  <c r="Z135" i="2" s="1"/>
  <c r="N124" i="2"/>
  <c r="X122" i="2"/>
  <c r="H134" i="2"/>
  <c r="I134" i="2"/>
  <c r="D135" i="2"/>
  <c r="AA109" i="2"/>
  <c r="AA110" i="2" s="1"/>
  <c r="Z109" i="2"/>
  <c r="Z110" i="2" s="1"/>
  <c r="Y109" i="2"/>
  <c r="Y110" i="2" s="1"/>
  <c r="AL107" i="2"/>
  <c r="AM107" i="2"/>
  <c r="I122" i="2"/>
  <c r="H122" i="2"/>
  <c r="Q109" i="2"/>
  <c r="Q110" i="2" s="1"/>
  <c r="O109" i="2"/>
  <c r="O110" i="2" s="1"/>
  <c r="P109" i="2"/>
  <c r="P110" i="2" s="1"/>
  <c r="G96" i="2"/>
  <c r="G97" i="2" s="1"/>
  <c r="F96" i="2"/>
  <c r="F97" i="2" s="1"/>
  <c r="E96" i="2"/>
  <c r="E97" i="2" s="1"/>
  <c r="H108" i="2"/>
  <c r="I108" i="2"/>
  <c r="D109" i="2"/>
  <c r="D110" i="2" s="1"/>
  <c r="X96" i="2"/>
  <c r="X97" i="2" s="1"/>
  <c r="AB95" i="2"/>
  <c r="AC95" i="2"/>
  <c r="AM94" i="2"/>
  <c r="AL94" i="2"/>
  <c r="R94" i="2"/>
  <c r="S94" i="2"/>
  <c r="R119" i="1"/>
  <c r="R121" i="1"/>
  <c r="J172" i="5" l="1"/>
  <c r="J64" i="6" s="1"/>
  <c r="R163" i="5"/>
  <c r="N167" i="5"/>
  <c r="N172" i="5" s="1"/>
  <c r="O163" i="5"/>
  <c r="K167" i="5"/>
  <c r="K172" i="5" s="1"/>
  <c r="O121" i="1"/>
  <c r="S121" i="1" s="1"/>
  <c r="O119" i="1"/>
  <c r="S119" i="1" s="1"/>
  <c r="O15" i="5"/>
  <c r="O159" i="5"/>
  <c r="O206" i="2"/>
  <c r="F64" i="6"/>
  <c r="Q65" i="6"/>
  <c r="Q63" i="6"/>
  <c r="E65" i="6"/>
  <c r="E63" i="6"/>
  <c r="G65" i="6"/>
  <c r="G63" i="6"/>
  <c r="F37" i="10"/>
  <c r="H36" i="10"/>
  <c r="G36" i="10"/>
  <c r="AC134" i="2"/>
  <c r="AB134" i="2"/>
  <c r="X135" i="2"/>
  <c r="AK134" i="2"/>
  <c r="AK135" i="2" s="1"/>
  <c r="AI134" i="2"/>
  <c r="AI135" i="2" s="1"/>
  <c r="AJ134" i="2"/>
  <c r="AJ135" i="2" s="1"/>
  <c r="AH134" i="2"/>
  <c r="R134" i="2"/>
  <c r="S134" i="2"/>
  <c r="N135" i="2"/>
  <c r="AH123" i="2"/>
  <c r="AH124" i="2" s="1"/>
  <c r="AM122" i="2"/>
  <c r="AL122" i="2"/>
  <c r="AL121" i="2"/>
  <c r="AM121" i="2"/>
  <c r="N125" i="2"/>
  <c r="N126" i="2" s="1"/>
  <c r="P123" i="2"/>
  <c r="P124" i="2" s="1"/>
  <c r="S122" i="2"/>
  <c r="R122" i="2"/>
  <c r="S121" i="2"/>
  <c r="R121" i="2"/>
  <c r="AK125" i="2"/>
  <c r="AK126" i="2" s="1"/>
  <c r="X123" i="2"/>
  <c r="X124" i="2" s="1"/>
  <c r="AB122" i="2"/>
  <c r="AC122" i="2"/>
  <c r="H135" i="2"/>
  <c r="I135" i="2"/>
  <c r="S108" i="2"/>
  <c r="R108" i="2"/>
  <c r="N109" i="2"/>
  <c r="N110" i="2" s="1"/>
  <c r="G124" i="2"/>
  <c r="G125" i="2" s="1"/>
  <c r="F124" i="2"/>
  <c r="F125" i="2" s="1"/>
  <c r="E124" i="2"/>
  <c r="E125" i="2" s="1"/>
  <c r="AK109" i="2"/>
  <c r="AK110" i="2" s="1"/>
  <c r="AI109" i="2"/>
  <c r="AI110" i="2" s="1"/>
  <c r="AJ109" i="2"/>
  <c r="AJ110" i="2" s="1"/>
  <c r="AB108" i="2"/>
  <c r="AC108" i="2"/>
  <c r="X109" i="2"/>
  <c r="X110" i="2" s="1"/>
  <c r="I95" i="2"/>
  <c r="I109" i="2"/>
  <c r="H109" i="2"/>
  <c r="D96" i="2"/>
  <c r="H96" i="2" s="1"/>
  <c r="F98" i="2" s="1"/>
  <c r="F99" i="2" s="1"/>
  <c r="H95" i="2"/>
  <c r="AK96" i="2"/>
  <c r="AK97" i="2" s="1"/>
  <c r="AJ96" i="2"/>
  <c r="AJ97" i="2" s="1"/>
  <c r="AI96" i="2"/>
  <c r="AI97" i="2" s="1"/>
  <c r="AC96" i="2"/>
  <c r="AB96" i="2"/>
  <c r="J65" i="6" l="1"/>
  <c r="J63" i="6"/>
  <c r="R167" i="5"/>
  <c r="R172" i="5" s="1"/>
  <c r="R64" i="6" s="1"/>
  <c r="O167" i="5"/>
  <c r="O172" i="5" s="1"/>
  <c r="F65" i="6"/>
  <c r="F63" i="6"/>
  <c r="F38" i="10"/>
  <c r="H37" i="10"/>
  <c r="G37" i="10"/>
  <c r="P125" i="2"/>
  <c r="P126" i="2" s="1"/>
  <c r="N127" i="2" s="1"/>
  <c r="R124" i="2"/>
  <c r="S124" i="2"/>
  <c r="AH125" i="2"/>
  <c r="AH126" i="2" s="1"/>
  <c r="AH127" i="2" s="1"/>
  <c r="AL124" i="2"/>
  <c r="AM124" i="2"/>
  <c r="X125" i="2"/>
  <c r="X126" i="2" s="1"/>
  <c r="X127" i="2" s="1"/>
  <c r="AC124" i="2"/>
  <c r="AB124" i="2"/>
  <c r="AM123" i="2"/>
  <c r="AL123" i="2"/>
  <c r="S135" i="2"/>
  <c r="R135" i="2"/>
  <c r="AL134" i="2"/>
  <c r="AM134" i="2"/>
  <c r="AH135" i="2"/>
  <c r="R123" i="2"/>
  <c r="S123" i="2"/>
  <c r="AC123" i="2"/>
  <c r="AB123" i="2"/>
  <c r="AB135" i="2"/>
  <c r="AC135" i="2"/>
  <c r="I96" i="2"/>
  <c r="D97" i="2"/>
  <c r="D98" i="2" s="1"/>
  <c r="D99" i="2" s="1"/>
  <c r="F136" i="2"/>
  <c r="F137" i="2" s="1"/>
  <c r="E136" i="2"/>
  <c r="E137" i="2" s="1"/>
  <c r="D136" i="2"/>
  <c r="G136" i="2"/>
  <c r="G137" i="2" s="1"/>
  <c r="I123" i="2"/>
  <c r="H123" i="2"/>
  <c r="D124" i="2"/>
  <c r="D125" i="2" s="1"/>
  <c r="AL108" i="2"/>
  <c r="AM108" i="2"/>
  <c r="AH109" i="2"/>
  <c r="AH110" i="2" s="1"/>
  <c r="AC109" i="2"/>
  <c r="AB109" i="2"/>
  <c r="S109" i="2"/>
  <c r="R109" i="2"/>
  <c r="E111" i="2"/>
  <c r="E112" i="2" s="1"/>
  <c r="G111" i="2"/>
  <c r="G112" i="2" s="1"/>
  <c r="F111" i="2"/>
  <c r="F112" i="2" s="1"/>
  <c r="E98" i="2"/>
  <c r="E99" i="2" s="1"/>
  <c r="G98" i="2"/>
  <c r="G99" i="2" s="1"/>
  <c r="Z98" i="2"/>
  <c r="Z99" i="2" s="1"/>
  <c r="Y98" i="2"/>
  <c r="Y99" i="2" s="1"/>
  <c r="AA98" i="2"/>
  <c r="AA99" i="2" s="1"/>
  <c r="AM95" i="2"/>
  <c r="AL95" i="2"/>
  <c r="AH96" i="2"/>
  <c r="AH97" i="2" s="1"/>
  <c r="S127" i="2" l="1"/>
  <c r="R127" i="2"/>
  <c r="AM127" i="2"/>
  <c r="AL127" i="2"/>
  <c r="AC127" i="2"/>
  <c r="AB127" i="2"/>
  <c r="C172" i="5"/>
  <c r="C64" i="6" s="1"/>
  <c r="R63" i="6"/>
  <c r="R65" i="6"/>
  <c r="O64" i="6"/>
  <c r="F39" i="10"/>
  <c r="H38" i="10"/>
  <c r="G38" i="10"/>
  <c r="S125" i="2"/>
  <c r="R125" i="2"/>
  <c r="S126" i="2"/>
  <c r="R126" i="2"/>
  <c r="N145" i="2"/>
  <c r="Y136" i="2"/>
  <c r="Y137" i="2" s="1"/>
  <c r="AA136" i="2"/>
  <c r="AA137" i="2" s="1"/>
  <c r="Z136" i="2"/>
  <c r="Z137" i="2" s="1"/>
  <c r="X136" i="2"/>
  <c r="AB126" i="2"/>
  <c r="O145" i="2"/>
  <c r="AC126" i="2"/>
  <c r="AC125" i="2"/>
  <c r="AB125" i="2"/>
  <c r="P145" i="2"/>
  <c r="AM126" i="2"/>
  <c r="AL126" i="2"/>
  <c r="AM125" i="2"/>
  <c r="AL125" i="2"/>
  <c r="O136" i="2"/>
  <c r="O137" i="2" s="1"/>
  <c r="Q136" i="2"/>
  <c r="Q137" i="2" s="1"/>
  <c r="P136" i="2"/>
  <c r="P137" i="2" s="1"/>
  <c r="N136" i="2"/>
  <c r="AM135" i="2"/>
  <c r="AL135" i="2"/>
  <c r="H136" i="2"/>
  <c r="I136" i="2"/>
  <c r="D137" i="2"/>
  <c r="O111" i="2"/>
  <c r="O112" i="2" s="1"/>
  <c r="Q111" i="2"/>
  <c r="Q112" i="2" s="1"/>
  <c r="P111" i="2"/>
  <c r="P112" i="2" s="1"/>
  <c r="AM109" i="2"/>
  <c r="AL109" i="2"/>
  <c r="I124" i="2"/>
  <c r="H124" i="2"/>
  <c r="AA111" i="2"/>
  <c r="AA112" i="2" s="1"/>
  <c r="Z111" i="2"/>
  <c r="Z112" i="2" s="1"/>
  <c r="Y111" i="2"/>
  <c r="Y112" i="2" s="1"/>
  <c r="I98" i="2"/>
  <c r="I110" i="2"/>
  <c r="H110" i="2"/>
  <c r="D111" i="2"/>
  <c r="D112" i="2" s="1"/>
  <c r="H98" i="2"/>
  <c r="G100" i="2" s="1"/>
  <c r="I97" i="2"/>
  <c r="H97" i="2"/>
  <c r="AL96" i="2"/>
  <c r="AM96" i="2"/>
  <c r="AB97" i="2"/>
  <c r="AC97" i="2"/>
  <c r="X98" i="2"/>
  <c r="X99" i="2" s="1"/>
  <c r="C63" i="6" l="1"/>
  <c r="C65" i="6"/>
  <c r="S64" i="6"/>
  <c r="O63" i="6"/>
  <c r="O65" i="6"/>
  <c r="F40" i="10"/>
  <c r="G39" i="10"/>
  <c r="H39" i="10"/>
  <c r="J145" i="2"/>
  <c r="T145" i="2"/>
  <c r="AJ136" i="2"/>
  <c r="AJ137" i="2" s="1"/>
  <c r="AH136" i="2"/>
  <c r="AI136" i="2"/>
  <c r="AI137" i="2" s="1"/>
  <c r="AK136" i="2"/>
  <c r="AK137" i="2" s="1"/>
  <c r="AC136" i="2"/>
  <c r="AB136" i="2"/>
  <c r="X137" i="2"/>
  <c r="R136" i="2"/>
  <c r="S136" i="2"/>
  <c r="N137" i="2"/>
  <c r="H137" i="2"/>
  <c r="I137" i="2"/>
  <c r="AC110" i="2"/>
  <c r="AB110" i="2"/>
  <c r="X111" i="2"/>
  <c r="X112" i="2" s="1"/>
  <c r="G126" i="2"/>
  <c r="E126" i="2"/>
  <c r="F126" i="2"/>
  <c r="AK111" i="2"/>
  <c r="AK112" i="2" s="1"/>
  <c r="AJ111" i="2"/>
  <c r="AJ112" i="2" s="1"/>
  <c r="AI111" i="2"/>
  <c r="AI112" i="2" s="1"/>
  <c r="S110" i="2"/>
  <c r="R110" i="2"/>
  <c r="N111" i="2"/>
  <c r="N112" i="2" s="1"/>
  <c r="F100" i="2"/>
  <c r="E100" i="2"/>
  <c r="H111" i="2"/>
  <c r="I111" i="2"/>
  <c r="AC98" i="2"/>
  <c r="AB98" i="2"/>
  <c r="AK98" i="2"/>
  <c r="AK99" i="2" s="1"/>
  <c r="AJ98" i="2"/>
  <c r="AJ99" i="2" s="1"/>
  <c r="AI98" i="2"/>
  <c r="AI99" i="2" s="1"/>
  <c r="K145" i="2"/>
  <c r="U145" i="2"/>
  <c r="S65" i="6" l="1"/>
  <c r="S63" i="6"/>
  <c r="F41" i="10"/>
  <c r="H40" i="10"/>
  <c r="G40" i="10"/>
  <c r="R77" i="1"/>
  <c r="P83" i="1"/>
  <c r="Q77" i="1"/>
  <c r="O83" i="1"/>
  <c r="M77" i="1"/>
  <c r="K83" i="1"/>
  <c r="L77" i="1"/>
  <c r="J83" i="1"/>
  <c r="R137" i="2"/>
  <c r="S137" i="2"/>
  <c r="AL136" i="2"/>
  <c r="AM136" i="2"/>
  <c r="AH137" i="2"/>
  <c r="AC137" i="2"/>
  <c r="AB137" i="2"/>
  <c r="D138" i="2"/>
  <c r="F138" i="2"/>
  <c r="F139" i="2" s="1"/>
  <c r="G138" i="2"/>
  <c r="G139" i="2" s="1"/>
  <c r="E138" i="2"/>
  <c r="E139" i="2" s="1"/>
  <c r="H99" i="2"/>
  <c r="AL110" i="2"/>
  <c r="AM110" i="2"/>
  <c r="AH111" i="2"/>
  <c r="AH112" i="2" s="1"/>
  <c r="D100" i="2"/>
  <c r="R111" i="2"/>
  <c r="S111" i="2"/>
  <c r="I125" i="2"/>
  <c r="H125" i="2"/>
  <c r="D126" i="2"/>
  <c r="D127" i="2" s="1"/>
  <c r="AB111" i="2"/>
  <c r="AC111" i="2"/>
  <c r="I99" i="2"/>
  <c r="G113" i="2"/>
  <c r="E113" i="2"/>
  <c r="F113" i="2"/>
  <c r="AM97" i="2"/>
  <c r="AL97" i="2"/>
  <c r="AH98" i="2"/>
  <c r="AH99" i="2" s="1"/>
  <c r="AA100" i="2"/>
  <c r="Y100" i="2"/>
  <c r="Z100" i="2"/>
  <c r="S145" i="2"/>
  <c r="I145" i="2"/>
  <c r="H127" i="2" l="1"/>
  <c r="I127" i="2"/>
  <c r="I100" i="2"/>
  <c r="D101" i="2"/>
  <c r="C42" i="10"/>
  <c r="H41" i="10"/>
  <c r="G41" i="10"/>
  <c r="P77" i="1"/>
  <c r="N83" i="1"/>
  <c r="K77" i="1"/>
  <c r="I83" i="1"/>
  <c r="Y138" i="2"/>
  <c r="Y139" i="2" s="1"/>
  <c r="AA138" i="2"/>
  <c r="AA139" i="2" s="1"/>
  <c r="X138" i="2"/>
  <c r="Z138" i="2"/>
  <c r="Z139" i="2" s="1"/>
  <c r="AM137" i="2"/>
  <c r="AL137" i="2"/>
  <c r="P138" i="2"/>
  <c r="P139" i="2" s="1"/>
  <c r="N138" i="2"/>
  <c r="Q138" i="2"/>
  <c r="Q139" i="2" s="1"/>
  <c r="O138" i="2"/>
  <c r="O139" i="2" s="1"/>
  <c r="H100" i="2"/>
  <c r="H138" i="2"/>
  <c r="I138" i="2"/>
  <c r="D139" i="2"/>
  <c r="D140" i="2" s="1"/>
  <c r="H140" i="2" s="1"/>
  <c r="AA113" i="2"/>
  <c r="Z113" i="2"/>
  <c r="Y113" i="2"/>
  <c r="I126" i="2"/>
  <c r="H126" i="2"/>
  <c r="P113" i="2"/>
  <c r="O113" i="2"/>
  <c r="Q113" i="2"/>
  <c r="AM111" i="2"/>
  <c r="AL111" i="2"/>
  <c r="I112" i="2"/>
  <c r="H112" i="2"/>
  <c r="D113" i="2"/>
  <c r="D114" i="2" s="1"/>
  <c r="AB99" i="2"/>
  <c r="AC99" i="2"/>
  <c r="X100" i="2"/>
  <c r="X101" i="2" s="1"/>
  <c r="AM98" i="2"/>
  <c r="AL98" i="2"/>
  <c r="I140" i="2" l="1"/>
  <c r="I114" i="2"/>
  <c r="H114" i="2"/>
  <c r="AC101" i="2"/>
  <c r="AB101" i="2"/>
  <c r="I101" i="2"/>
  <c r="H101" i="2"/>
  <c r="M143" i="2"/>
  <c r="R143" i="2" s="1"/>
  <c r="M81" i="1" s="1"/>
  <c r="S138" i="2"/>
  <c r="R138" i="2"/>
  <c r="N139" i="2"/>
  <c r="N140" i="2" s="1"/>
  <c r="AH138" i="2"/>
  <c r="AJ138" i="2"/>
  <c r="AJ139" i="2" s="1"/>
  <c r="AI138" i="2"/>
  <c r="AI139" i="2" s="1"/>
  <c r="AK138" i="2"/>
  <c r="AK139" i="2" s="1"/>
  <c r="AB138" i="2"/>
  <c r="AC138" i="2"/>
  <c r="X139" i="2"/>
  <c r="X140" i="2" s="1"/>
  <c r="M146" i="2"/>
  <c r="I139" i="2"/>
  <c r="H139" i="2"/>
  <c r="M145" i="2"/>
  <c r="R145" i="2" s="1"/>
  <c r="M83" i="1" s="1"/>
  <c r="AI113" i="2"/>
  <c r="AJ113" i="2"/>
  <c r="AK113" i="2"/>
  <c r="AC112" i="2"/>
  <c r="AB112" i="2"/>
  <c r="X113" i="2"/>
  <c r="X114" i="2" s="1"/>
  <c r="S112" i="2"/>
  <c r="R112" i="2"/>
  <c r="N113" i="2"/>
  <c r="N114" i="2" s="1"/>
  <c r="I113" i="2"/>
  <c r="H113" i="2"/>
  <c r="AK100" i="2"/>
  <c r="AJ100" i="2"/>
  <c r="AI100" i="2"/>
  <c r="AC100" i="2"/>
  <c r="AB100" i="2"/>
  <c r="S140" i="2" l="1"/>
  <c r="R140" i="2"/>
  <c r="AC140" i="2"/>
  <c r="AB140" i="2"/>
  <c r="H143" i="2"/>
  <c r="S114" i="2"/>
  <c r="R114" i="2"/>
  <c r="AC114" i="2"/>
  <c r="AB114" i="2"/>
  <c r="O143" i="2"/>
  <c r="T143" i="2" s="1"/>
  <c r="J75" i="1"/>
  <c r="H81" i="1"/>
  <c r="O75" i="1"/>
  <c r="O77" i="1"/>
  <c r="O146" i="2"/>
  <c r="AC139" i="2"/>
  <c r="AB139" i="2"/>
  <c r="AM138" i="2"/>
  <c r="AL138" i="2"/>
  <c r="AH139" i="2"/>
  <c r="AH140" i="2" s="1"/>
  <c r="N146" i="2"/>
  <c r="S139" i="2"/>
  <c r="R139" i="2"/>
  <c r="H145" i="2"/>
  <c r="M144" i="2"/>
  <c r="H146" i="2"/>
  <c r="R146" i="2"/>
  <c r="M84" i="1" s="1"/>
  <c r="N144" i="2"/>
  <c r="S113" i="2"/>
  <c r="R113" i="2"/>
  <c r="O144" i="2"/>
  <c r="AC113" i="2"/>
  <c r="AB113" i="2"/>
  <c r="AM112" i="2"/>
  <c r="AL112" i="2"/>
  <c r="AH113" i="2"/>
  <c r="AH114" i="2" s="1"/>
  <c r="AL99" i="2"/>
  <c r="AM99" i="2"/>
  <c r="AH100" i="2"/>
  <c r="AH101" i="2" s="1"/>
  <c r="AM140" i="2" l="1"/>
  <c r="AL140" i="2"/>
  <c r="AM114" i="2"/>
  <c r="AL114" i="2"/>
  <c r="J143" i="2"/>
  <c r="AM101" i="2"/>
  <c r="AL101" i="2"/>
  <c r="Q75" i="1"/>
  <c r="O81" i="1"/>
  <c r="J78" i="1"/>
  <c r="H84" i="1"/>
  <c r="J77" i="1"/>
  <c r="H83" i="1"/>
  <c r="L75" i="1"/>
  <c r="J81" i="1"/>
  <c r="K205" i="2" a="1"/>
  <c r="K205" i="2" s="1"/>
  <c r="K207" i="2" s="1"/>
  <c r="R144" i="2"/>
  <c r="C205" i="2" a="1"/>
  <c r="E207" i="2" s="1"/>
  <c r="O78" i="1"/>
  <c r="I146" i="2"/>
  <c r="S146" i="2"/>
  <c r="P146" i="2"/>
  <c r="AM139" i="2"/>
  <c r="AL139" i="2"/>
  <c r="H144" i="2"/>
  <c r="J146" i="2"/>
  <c r="T146" i="2"/>
  <c r="P144" i="2"/>
  <c r="AL113" i="2"/>
  <c r="AM113" i="2"/>
  <c r="T144" i="2"/>
  <c r="J144" i="2"/>
  <c r="S144" i="2"/>
  <c r="I144" i="2"/>
  <c r="AM100" i="2"/>
  <c r="AL100" i="2"/>
  <c r="P143" i="2" l="1"/>
  <c r="P76" i="1"/>
  <c r="N82" i="1"/>
  <c r="P78" i="1"/>
  <c r="N84" i="1"/>
  <c r="Q76" i="1"/>
  <c r="O82" i="1"/>
  <c r="Q78" i="1"/>
  <c r="O84" i="1"/>
  <c r="O76" i="1"/>
  <c r="M82" i="1"/>
  <c r="K78" i="1"/>
  <c r="I84" i="1"/>
  <c r="K76" i="1"/>
  <c r="I82" i="1"/>
  <c r="J76" i="1"/>
  <c r="H82" i="1"/>
  <c r="L76" i="1"/>
  <c r="J82" i="1"/>
  <c r="L78" i="1"/>
  <c r="J84" i="1"/>
  <c r="N207" i="2"/>
  <c r="O215" i="2" s="1"/>
  <c r="J135" i="1" s="1"/>
  <c r="M207" i="2"/>
  <c r="O214" i="2" s="1"/>
  <c r="J134" i="1" s="1"/>
  <c r="L207" i="2"/>
  <c r="O213" i="2" s="1"/>
  <c r="M214" i="2"/>
  <c r="E219" i="2"/>
  <c r="E127" i="1" s="1"/>
  <c r="E138" i="1" s="1"/>
  <c r="O212" i="2"/>
  <c r="K219" i="2"/>
  <c r="K127" i="1" s="1"/>
  <c r="K138" i="1" s="1"/>
  <c r="C205" i="2"/>
  <c r="C207" i="2" s="1"/>
  <c r="D207" i="2"/>
  <c r="F207" i="2"/>
  <c r="O205" i="2" a="1"/>
  <c r="U146" i="2"/>
  <c r="K146" i="2"/>
  <c r="U144" i="2"/>
  <c r="K144" i="2"/>
  <c r="U143" i="2"/>
  <c r="K143" i="2"/>
  <c r="J213" i="2" l="1"/>
  <c r="J133" i="1"/>
  <c r="J212" i="2"/>
  <c r="J132" i="1"/>
  <c r="H214" i="2"/>
  <c r="H134" i="1"/>
  <c r="R78" i="1"/>
  <c r="P84" i="1"/>
  <c r="R76" i="1"/>
  <c r="P82" i="1"/>
  <c r="R75" i="1"/>
  <c r="P81" i="1"/>
  <c r="N219" i="2"/>
  <c r="T214" i="2"/>
  <c r="J214" i="2"/>
  <c r="M76" i="1"/>
  <c r="K82" i="1"/>
  <c r="M78" i="1"/>
  <c r="K84" i="1"/>
  <c r="L219" i="2"/>
  <c r="M219" i="2"/>
  <c r="M75" i="1"/>
  <c r="K81" i="1"/>
  <c r="J215" i="2"/>
  <c r="T215" i="2"/>
  <c r="K220" i="2"/>
  <c r="K128" i="1"/>
  <c r="K126" i="1"/>
  <c r="K139" i="1" s="1"/>
  <c r="E220" i="2"/>
  <c r="E128" i="1"/>
  <c r="E126" i="1"/>
  <c r="E139" i="1" s="1"/>
  <c r="R214" i="2"/>
  <c r="T213" i="2"/>
  <c r="M215" i="2"/>
  <c r="F219" i="2"/>
  <c r="F127" i="1" s="1"/>
  <c r="F138" i="1" s="1"/>
  <c r="M213" i="2"/>
  <c r="D219" i="2"/>
  <c r="D127" i="1" s="1"/>
  <c r="D138" i="1" s="1"/>
  <c r="T212" i="2"/>
  <c r="M212" i="2"/>
  <c r="C219" i="2"/>
  <c r="O205" i="2"/>
  <c r="O207" i="2" s="1"/>
  <c r="Q207" i="2"/>
  <c r="P207" i="2"/>
  <c r="R207" i="2"/>
  <c r="R215" i="2" l="1"/>
  <c r="H135" i="1"/>
  <c r="R213" i="2"/>
  <c r="H133" i="1"/>
  <c r="R212" i="2"/>
  <c r="H132" i="1"/>
  <c r="M126" i="1"/>
  <c r="M127" i="1"/>
  <c r="M138" i="1" s="1"/>
  <c r="N220" i="2"/>
  <c r="N127" i="1"/>
  <c r="N138" i="1" s="1"/>
  <c r="L126" i="1"/>
  <c r="L127" i="1"/>
  <c r="L138" i="1" s="1"/>
  <c r="C128" i="1"/>
  <c r="C127" i="1"/>
  <c r="C138" i="1" s="1"/>
  <c r="N126" i="1"/>
  <c r="N139" i="1" s="1"/>
  <c r="N128" i="1"/>
  <c r="L220" i="2"/>
  <c r="L128" i="1"/>
  <c r="M220" i="2"/>
  <c r="M128" i="1"/>
  <c r="H215" i="2"/>
  <c r="H212" i="2"/>
  <c r="H213" i="2"/>
  <c r="D220" i="2"/>
  <c r="D126" i="1"/>
  <c r="D139" i="1" s="1"/>
  <c r="D128" i="1"/>
  <c r="F220" i="2"/>
  <c r="F128" i="1"/>
  <c r="F126" i="1"/>
  <c r="F139" i="1" s="1"/>
  <c r="C220" i="2"/>
  <c r="C126" i="1"/>
  <c r="P212" i="2"/>
  <c r="O219" i="2"/>
  <c r="O127" i="1" s="1"/>
  <c r="O138" i="1" s="1"/>
  <c r="P214" i="2"/>
  <c r="Q219" i="2"/>
  <c r="Q127" i="1" s="1"/>
  <c r="Q138" i="1" s="1"/>
  <c r="P215" i="2"/>
  <c r="R219" i="2"/>
  <c r="R127" i="1" s="1"/>
  <c r="R138" i="1" s="1"/>
  <c r="P213" i="2"/>
  <c r="P219" i="2"/>
  <c r="P127" i="1" s="1"/>
  <c r="P138" i="1" s="1"/>
  <c r="S95" i="2"/>
  <c r="R95" i="2"/>
  <c r="C139" i="1" l="1"/>
  <c r="L139" i="1"/>
  <c r="M139" i="1"/>
  <c r="K213" i="2"/>
  <c r="K133" i="1"/>
  <c r="K212" i="2"/>
  <c r="K132" i="1"/>
  <c r="U215" i="2"/>
  <c r="K135" i="1"/>
  <c r="K214" i="2"/>
  <c r="K134" i="1"/>
  <c r="R220" i="2"/>
  <c r="R128" i="1"/>
  <c r="R126" i="1"/>
  <c r="R139" i="1" s="1"/>
  <c r="O220" i="2"/>
  <c r="O128" i="1"/>
  <c r="O126" i="1"/>
  <c r="O139" i="1" s="1"/>
  <c r="U213" i="2"/>
  <c r="P220" i="2"/>
  <c r="P126" i="1"/>
  <c r="P139" i="1" s="1"/>
  <c r="P128" i="1"/>
  <c r="Q220" i="2"/>
  <c r="Q126" i="1"/>
  <c r="Q139" i="1" s="1"/>
  <c r="Q128" i="1"/>
  <c r="U214" i="2"/>
  <c r="K215" i="2"/>
  <c r="U212" i="2"/>
  <c r="R96" i="2"/>
  <c r="S96" i="2"/>
  <c r="Q98" i="2" l="1"/>
  <c r="Q99" i="2" s="1"/>
  <c r="P98" i="2"/>
  <c r="P99" i="2" s="1"/>
  <c r="O98" i="2"/>
  <c r="O99" i="2" s="1"/>
  <c r="N98" i="2"/>
  <c r="N99" i="2" s="1"/>
  <c r="R98" i="2" l="1"/>
  <c r="R97" i="2"/>
  <c r="S98" i="2"/>
  <c r="S97" i="2"/>
  <c r="Q100" i="2"/>
  <c r="P100" i="2"/>
  <c r="O100" i="2"/>
  <c r="S99" i="2" l="1"/>
  <c r="R99" i="2"/>
  <c r="N100" i="2"/>
  <c r="N101" i="2" l="1"/>
  <c r="S100" i="2"/>
  <c r="R100" i="2"/>
  <c r="S101" i="2" l="1"/>
  <c r="R101" i="2"/>
  <c r="N143" i="2"/>
  <c r="G205" i="2" s="1" a="1"/>
  <c r="S143" i="2" l="1"/>
  <c r="P75" i="1" s="1"/>
  <c r="I143" i="2"/>
  <c r="I81" i="1" s="1"/>
  <c r="G205" i="2"/>
  <c r="G207" i="2" s="1"/>
  <c r="J207" i="2"/>
  <c r="H207" i="2"/>
  <c r="I207" i="2"/>
  <c r="N81" i="1" l="1"/>
  <c r="K75" i="1"/>
  <c r="N213" i="2"/>
  <c r="H219" i="2"/>
  <c r="H127" i="1" s="1"/>
  <c r="H138" i="1" s="1"/>
  <c r="N214" i="2"/>
  <c r="I219" i="2"/>
  <c r="I127" i="1" s="1"/>
  <c r="I138" i="1" s="1"/>
  <c r="N215" i="2"/>
  <c r="J219" i="2"/>
  <c r="J127" i="1" s="1"/>
  <c r="J138" i="1" s="1"/>
  <c r="N212" i="2"/>
  <c r="I132" i="1" s="1"/>
  <c r="G219" i="2"/>
  <c r="G127" i="1" s="1"/>
  <c r="G138" i="1" s="1"/>
  <c r="S214" i="2" l="1"/>
  <c r="I134" i="1"/>
  <c r="I213" i="2"/>
  <c r="I133" i="1"/>
  <c r="I215" i="2"/>
  <c r="I135" i="1"/>
  <c r="S213" i="2"/>
  <c r="S215" i="2"/>
  <c r="I214" i="2"/>
  <c r="M6" i="5" a="1"/>
  <c r="O14" i="5" s="1" a="1"/>
  <c r="O14" i="5" s="1"/>
  <c r="O16" i="5" s="1"/>
  <c r="O11" i="6" s="1"/>
  <c r="I212" i="2"/>
  <c r="S212" i="2"/>
  <c r="G220" i="2"/>
  <c r="G128" i="1"/>
  <c r="G126" i="1"/>
  <c r="G139" i="1" s="1"/>
  <c r="J220" i="2"/>
  <c r="J128" i="1"/>
  <c r="J126" i="1"/>
  <c r="J139" i="1" s="1"/>
  <c r="I220" i="2"/>
  <c r="I128" i="1"/>
  <c r="I126" i="1"/>
  <c r="I139" i="1" s="1"/>
  <c r="H220" i="2"/>
  <c r="H128" i="1"/>
  <c r="H126" i="1"/>
  <c r="H139" i="1" s="1"/>
  <c r="C132" i="1" l="1" a="1"/>
  <c r="C132" i="1" s="1"/>
  <c r="M132" i="1" a="1"/>
  <c r="M132" i="1" s="1"/>
  <c r="I9" i="5"/>
  <c r="U7" i="5"/>
  <c r="T7" i="5"/>
  <c r="S7" i="5"/>
  <c r="R7" i="5"/>
  <c r="H8" i="5"/>
  <c r="J6" i="5"/>
  <c r="R8" i="5"/>
  <c r="T9" i="5"/>
  <c r="R9" i="5"/>
  <c r="J8" i="5"/>
  <c r="S8" i="5"/>
  <c r="T8" i="5"/>
  <c r="U8" i="5"/>
  <c r="K6" i="5"/>
  <c r="H9" i="5"/>
  <c r="S6" i="5"/>
  <c r="J9" i="5"/>
  <c r="T6" i="5"/>
  <c r="R16" i="5"/>
  <c r="R11" i="6" s="1"/>
  <c r="U6" i="5"/>
  <c r="I8" i="5"/>
  <c r="H7" i="5"/>
  <c r="I7" i="5"/>
  <c r="J7" i="5"/>
  <c r="K9" i="5"/>
  <c r="I6" i="5"/>
  <c r="S9" i="5"/>
  <c r="K7" i="5"/>
  <c r="U9" i="5"/>
  <c r="K8" i="5"/>
  <c r="M6" i="5"/>
  <c r="R6" i="5" s="1"/>
  <c r="P16" i="5"/>
  <c r="P11" i="6" s="1"/>
  <c r="K14" i="5" a="1"/>
  <c r="N16" i="5" s="1"/>
  <c r="N11" i="6" s="1"/>
  <c r="G14" i="5" a="1"/>
  <c r="G14" i="5" s="1"/>
  <c r="G16" i="5" s="1"/>
  <c r="G11" i="6" s="1"/>
  <c r="Q16" i="5"/>
  <c r="Q11" i="6" s="1"/>
  <c r="C223" i="2"/>
  <c r="C2" i="5" s="1"/>
  <c r="P19" i="5"/>
  <c r="O12" i="6"/>
  <c r="O10" i="6"/>
  <c r="P21" i="5" l="1"/>
  <c r="Q38" i="5" s="1"/>
  <c r="AJ44" i="5" s="1"/>
  <c r="AJ46" i="5" s="1"/>
  <c r="AJ47" i="5" s="1"/>
  <c r="AJ48" i="5" s="1"/>
  <c r="AJ49" i="5" s="1"/>
  <c r="AJ50" i="5" s="1"/>
  <c r="AJ51" i="5" s="1"/>
  <c r="AJ52" i="5" s="1"/>
  <c r="R12" i="6"/>
  <c r="R10" i="6"/>
  <c r="P22" i="5"/>
  <c r="K22" i="5" s="1"/>
  <c r="K18" i="6" s="1"/>
  <c r="H6" i="5"/>
  <c r="C14" i="5" a="1"/>
  <c r="C14" i="5" s="1"/>
  <c r="C16" i="5" s="1"/>
  <c r="C10" i="6" s="1"/>
  <c r="Q10" i="6"/>
  <c r="K21" i="5"/>
  <c r="K17" i="6" s="1"/>
  <c r="M16" i="5"/>
  <c r="M11" i="6" s="1"/>
  <c r="Q12" i="6"/>
  <c r="P10" i="6"/>
  <c r="P12" i="6"/>
  <c r="J16" i="5"/>
  <c r="J11" i="6" s="1"/>
  <c r="L16" i="5"/>
  <c r="L11" i="6" s="1"/>
  <c r="G10" i="6"/>
  <c r="K14" i="5"/>
  <c r="K16" i="5" s="1"/>
  <c r="K11" i="6" s="1"/>
  <c r="G12" i="6"/>
  <c r="H16" i="5"/>
  <c r="H11" i="6" s="1"/>
  <c r="I16" i="5"/>
  <c r="I11" i="6" s="1"/>
  <c r="N19" i="5"/>
  <c r="I19" i="5" s="1"/>
  <c r="I15" i="6" s="1"/>
  <c r="P20" i="5"/>
  <c r="Q37" i="5" s="1"/>
  <c r="AI44" i="5" s="1"/>
  <c r="AI46" i="5" s="1"/>
  <c r="AI47" i="5" s="1"/>
  <c r="AI48" i="5" s="1"/>
  <c r="AI49" i="5" s="1"/>
  <c r="AI50" i="5" s="1"/>
  <c r="AI51" i="5" s="1"/>
  <c r="AI52" i="5" s="1"/>
  <c r="U21" i="5"/>
  <c r="P17" i="6" s="1"/>
  <c r="C4" i="6"/>
  <c r="G2" i="2"/>
  <c r="C142" i="1"/>
  <c r="H3" i="1"/>
  <c r="K19" i="5"/>
  <c r="K15" i="6" s="1"/>
  <c r="O22" i="5"/>
  <c r="M39" i="5" s="1"/>
  <c r="N12" i="6"/>
  <c r="N10" i="6"/>
  <c r="U19" i="5"/>
  <c r="P15" i="6" s="1"/>
  <c r="Q36" i="5"/>
  <c r="AH83" i="5" s="1"/>
  <c r="AH85" i="5" s="1"/>
  <c r="AH86" i="5" s="1"/>
  <c r="AJ83" i="5"/>
  <c r="AJ85" i="5" s="1"/>
  <c r="AJ86" i="5" s="1"/>
  <c r="AJ57" i="5"/>
  <c r="AJ59" i="5" s="1"/>
  <c r="AJ60" i="5" s="1"/>
  <c r="AJ61" i="5" s="1"/>
  <c r="AJ62" i="5" s="1"/>
  <c r="AJ63" i="5" s="1"/>
  <c r="AJ64" i="5" s="1"/>
  <c r="AJ65" i="5" s="1"/>
  <c r="AJ70" i="5"/>
  <c r="AJ72" i="5" s="1"/>
  <c r="AJ73" i="5" s="1"/>
  <c r="AJ74" i="5" s="1"/>
  <c r="AJ75" i="5" s="1"/>
  <c r="AJ76" i="5" s="1"/>
  <c r="AJ77" i="5" s="1"/>
  <c r="AJ78" i="5" s="1"/>
  <c r="Q39" i="5" l="1"/>
  <c r="AK44" i="5" s="1"/>
  <c r="AK46" i="5" s="1"/>
  <c r="U22" i="5"/>
  <c r="P18" i="6" s="1"/>
  <c r="D16" i="5"/>
  <c r="D11" i="6" s="1"/>
  <c r="F16" i="5"/>
  <c r="F11" i="6" s="1"/>
  <c r="E16" i="5"/>
  <c r="E11" i="6" s="1"/>
  <c r="M10" i="6"/>
  <c r="M12" i="6"/>
  <c r="O21" i="5"/>
  <c r="M38" i="5" s="1"/>
  <c r="Z70" i="5" s="1"/>
  <c r="Z72" i="5" s="1"/>
  <c r="Z73" i="5" s="1"/>
  <c r="Z74" i="5" s="1"/>
  <c r="Z75" i="5" s="1"/>
  <c r="Z76" i="5" s="1"/>
  <c r="Z77" i="5" s="1"/>
  <c r="Z78" i="5" s="1"/>
  <c r="L10" i="6"/>
  <c r="N21" i="5"/>
  <c r="S21" i="5" s="1"/>
  <c r="N17" i="6" s="1"/>
  <c r="L12" i="6"/>
  <c r="O20" i="5"/>
  <c r="T20" i="5" s="1"/>
  <c r="O16" i="6" s="1"/>
  <c r="J10" i="6"/>
  <c r="I36" i="5"/>
  <c r="N83" i="5" s="1"/>
  <c r="N85" i="5" s="1"/>
  <c r="N86" i="5" s="1"/>
  <c r="N87" i="5" s="1"/>
  <c r="N88" i="5" s="1"/>
  <c r="N89" i="5" s="1"/>
  <c r="N90" i="5" s="1"/>
  <c r="H10" i="6"/>
  <c r="J12" i="6"/>
  <c r="H12" i="6"/>
  <c r="N20" i="5"/>
  <c r="I37" i="5" s="1"/>
  <c r="O83" i="5" s="1"/>
  <c r="O85" i="5" s="1"/>
  <c r="K12" i="6"/>
  <c r="K10" i="6"/>
  <c r="O19" i="5"/>
  <c r="J19" i="5" s="1"/>
  <c r="J15" i="6" s="1"/>
  <c r="N22" i="5"/>
  <c r="S22" i="5" s="1"/>
  <c r="N18" i="6" s="1"/>
  <c r="S19" i="5"/>
  <c r="N15" i="6" s="1"/>
  <c r="AI83" i="5"/>
  <c r="AI85" i="5" s="1"/>
  <c r="AI86" i="5" s="1"/>
  <c r="AI57" i="5"/>
  <c r="AI59" i="5" s="1"/>
  <c r="AI60" i="5" s="1"/>
  <c r="AI61" i="5" s="1"/>
  <c r="AI62" i="5" s="1"/>
  <c r="AI63" i="5" s="1"/>
  <c r="AI64" i="5" s="1"/>
  <c r="AI65" i="5" s="1"/>
  <c r="AI70" i="5"/>
  <c r="AI72" i="5" s="1"/>
  <c r="AI73" i="5" s="1"/>
  <c r="AI74" i="5" s="1"/>
  <c r="AI75" i="5" s="1"/>
  <c r="AI76" i="5" s="1"/>
  <c r="AI77" i="5" s="1"/>
  <c r="AI78" i="5" s="1"/>
  <c r="U20" i="5"/>
  <c r="P16" i="6" s="1"/>
  <c r="K20" i="5"/>
  <c r="K16" i="6" s="1"/>
  <c r="I10" i="6"/>
  <c r="I12" i="6"/>
  <c r="C12" i="6"/>
  <c r="C11" i="6"/>
  <c r="J22" i="5"/>
  <c r="J18" i="6" s="1"/>
  <c r="T22" i="5"/>
  <c r="O18" i="6" s="1"/>
  <c r="AK57" i="5"/>
  <c r="AK59" i="5" s="1"/>
  <c r="AH70" i="5"/>
  <c r="AH72" i="5" s="1"/>
  <c r="AH73" i="5" s="1"/>
  <c r="AH74" i="5" s="1"/>
  <c r="AH75" i="5" s="1"/>
  <c r="AH76" i="5" s="1"/>
  <c r="AH77" i="5" s="1"/>
  <c r="AH78" i="5" s="1"/>
  <c r="AH57" i="5"/>
  <c r="AH59" i="5" s="1"/>
  <c r="AH60" i="5" s="1"/>
  <c r="AH61" i="5" s="1"/>
  <c r="AH62" i="5" s="1"/>
  <c r="AH63" i="5" s="1"/>
  <c r="AH64" i="5" s="1"/>
  <c r="AH65" i="5" s="1"/>
  <c r="AK70" i="5"/>
  <c r="AK72" i="5" s="1"/>
  <c r="AH44" i="5"/>
  <c r="AH46" i="5" s="1"/>
  <c r="AH47" i="5" s="1"/>
  <c r="AH48" i="5" s="1"/>
  <c r="AH49" i="5" s="1"/>
  <c r="AH50" i="5" s="1"/>
  <c r="AH51" i="5" s="1"/>
  <c r="AH52" i="5" s="1"/>
  <c r="M22" i="5"/>
  <c r="E39" i="5" s="1"/>
  <c r="F12" i="6"/>
  <c r="F10" i="6"/>
  <c r="AK83" i="5"/>
  <c r="AK85" i="5" s="1"/>
  <c r="AK86" i="5" s="1"/>
  <c r="M20" i="5"/>
  <c r="H20" i="5" s="1"/>
  <c r="H16" i="6" s="1"/>
  <c r="D10" i="6"/>
  <c r="M19" i="5"/>
  <c r="AA70" i="5"/>
  <c r="AA72" i="5" s="1"/>
  <c r="AA57" i="5"/>
  <c r="AA59" i="5" s="1"/>
  <c r="AA60" i="5" s="1"/>
  <c r="AA61" i="5" s="1"/>
  <c r="AA44" i="5"/>
  <c r="AA46" i="5" s="1"/>
  <c r="AA83" i="5"/>
  <c r="AA85" i="5" s="1"/>
  <c r="N57" i="5" l="1"/>
  <c r="N59" i="5" s="1"/>
  <c r="N60" i="5" s="1"/>
  <c r="N61" i="5" s="1"/>
  <c r="N62" i="5" s="1"/>
  <c r="N70" i="5"/>
  <c r="N72" i="5" s="1"/>
  <c r="N73" i="5" s="1"/>
  <c r="N74" i="5" s="1"/>
  <c r="N75" i="5" s="1"/>
  <c r="N76" i="5" s="1"/>
  <c r="N77" i="5" s="1"/>
  <c r="I21" i="5"/>
  <c r="I17" i="6" s="1"/>
  <c r="Z57" i="5"/>
  <c r="Z59" i="5" s="1"/>
  <c r="Z60" i="5" s="1"/>
  <c r="Z61" i="5" s="1"/>
  <c r="Z62" i="5" s="1"/>
  <c r="Z63" i="5" s="1"/>
  <c r="Z64" i="5" s="1"/>
  <c r="Z65" i="5" s="1"/>
  <c r="Z83" i="5"/>
  <c r="Z85" i="5" s="1"/>
  <c r="Z86" i="5" s="1"/>
  <c r="Z87" i="5" s="1"/>
  <c r="Z44" i="5"/>
  <c r="Z46" i="5" s="1"/>
  <c r="Z47" i="5" s="1"/>
  <c r="Z48" i="5" s="1"/>
  <c r="Z49" i="5" s="1"/>
  <c r="Z50" i="5" s="1"/>
  <c r="Z51" i="5" s="1"/>
  <c r="Z52" i="5" s="1"/>
  <c r="D12" i="6"/>
  <c r="I38" i="5"/>
  <c r="P57" i="5" s="1"/>
  <c r="P59" i="5" s="1"/>
  <c r="P60" i="5" s="1"/>
  <c r="N44" i="5"/>
  <c r="N46" i="5" s="1"/>
  <c r="N47" i="5" s="1"/>
  <c r="E10" i="6"/>
  <c r="E12" i="6"/>
  <c r="M21" i="5"/>
  <c r="H21" i="5" s="1"/>
  <c r="H17" i="6" s="1"/>
  <c r="M37" i="5"/>
  <c r="Y57" i="5" s="1"/>
  <c r="Y59" i="5" s="1"/>
  <c r="Y60" i="5" s="1"/>
  <c r="Y61" i="5" s="1"/>
  <c r="Y62" i="5" s="1"/>
  <c r="Y63" i="5" s="1"/>
  <c r="Y64" i="5" s="1"/>
  <c r="Y65" i="5" s="1"/>
  <c r="T21" i="5"/>
  <c r="O17" i="6" s="1"/>
  <c r="J21" i="5"/>
  <c r="J17" i="6" s="1"/>
  <c r="S20" i="5"/>
  <c r="N16" i="6" s="1"/>
  <c r="I20" i="5"/>
  <c r="I16" i="6" s="1"/>
  <c r="J20" i="5"/>
  <c r="J16" i="6" s="1"/>
  <c r="M36" i="5"/>
  <c r="X83" i="5" s="1"/>
  <c r="X85" i="5" s="1"/>
  <c r="I39" i="5"/>
  <c r="Q83" i="5" s="1"/>
  <c r="I22" i="5"/>
  <c r="I18" i="6" s="1"/>
  <c r="T19" i="5"/>
  <c r="O15" i="6" s="1"/>
  <c r="O57" i="5"/>
  <c r="O59" i="5" s="1"/>
  <c r="O60" i="5" s="1"/>
  <c r="O61" i="5" s="1"/>
  <c r="O62" i="5" s="1"/>
  <c r="O63" i="5" s="1"/>
  <c r="O64" i="5" s="1"/>
  <c r="O65" i="5" s="1"/>
  <c r="O70" i="5"/>
  <c r="O72" i="5" s="1"/>
  <c r="O73" i="5" s="1"/>
  <c r="O74" i="5" s="1"/>
  <c r="O75" i="5" s="1"/>
  <c r="O76" i="5" s="1"/>
  <c r="O77" i="5" s="1"/>
  <c r="O78" i="5" s="1"/>
  <c r="O44" i="5"/>
  <c r="O46" i="5" s="1"/>
  <c r="O47" i="5" s="1"/>
  <c r="O48" i="5" s="1"/>
  <c r="O49" i="5" s="1"/>
  <c r="O50" i="5" s="1"/>
  <c r="O51" i="5" s="1"/>
  <c r="O52" i="5" s="1"/>
  <c r="P44" i="5"/>
  <c r="P46" i="5" s="1"/>
  <c r="P47" i="5" s="1"/>
  <c r="AL57" i="5"/>
  <c r="AM57" i="5"/>
  <c r="AM70" i="5"/>
  <c r="AM83" i="5"/>
  <c r="AL70" i="5"/>
  <c r="AL44" i="5"/>
  <c r="R20" i="5"/>
  <c r="M16" i="6" s="1"/>
  <c r="AM44" i="5"/>
  <c r="E37" i="5"/>
  <c r="E70" i="5" s="1"/>
  <c r="E72" i="5" s="1"/>
  <c r="E73" i="5" s="1"/>
  <c r="E74" i="5" s="1"/>
  <c r="E75" i="5" s="1"/>
  <c r="E76" i="5" s="1"/>
  <c r="E77" i="5" s="1"/>
  <c r="E78" i="5" s="1"/>
  <c r="H22" i="5"/>
  <c r="H18" i="6" s="1"/>
  <c r="R22" i="5"/>
  <c r="M18" i="6" s="1"/>
  <c r="H19" i="5"/>
  <c r="H15" i="6" s="1"/>
  <c r="E36" i="5"/>
  <c r="D83" i="5" s="1"/>
  <c r="R19" i="5"/>
  <c r="M15" i="6" s="1"/>
  <c r="AL83" i="5"/>
  <c r="O86" i="5"/>
  <c r="O87" i="5" s="1"/>
  <c r="AA86" i="5"/>
  <c r="AA87" i="5" s="1"/>
  <c r="AA47" i="5"/>
  <c r="AA48" i="5" s="1"/>
  <c r="AA49" i="5" s="1"/>
  <c r="AA50" i="5" s="1"/>
  <c r="AA51" i="5" s="1"/>
  <c r="AA52" i="5" s="1"/>
  <c r="AA62" i="5"/>
  <c r="AA63" i="5" s="1"/>
  <c r="AA73" i="5"/>
  <c r="AA74" i="5" s="1"/>
  <c r="G70" i="5"/>
  <c r="G72" i="5" s="1"/>
  <c r="G73" i="5" s="1"/>
  <c r="G74" i="5" s="1"/>
  <c r="G75" i="5" s="1"/>
  <c r="G76" i="5" s="1"/>
  <c r="G77" i="5" s="1"/>
  <c r="G78" i="5" s="1"/>
  <c r="G83" i="5"/>
  <c r="G85" i="5" s="1"/>
  <c r="G86" i="5" s="1"/>
  <c r="G87" i="5" s="1"/>
  <c r="G88" i="5" s="1"/>
  <c r="G89" i="5" s="1"/>
  <c r="G90" i="5" s="1"/>
  <c r="G91" i="5" s="1"/>
  <c r="G44" i="5"/>
  <c r="G46" i="5" s="1"/>
  <c r="G47" i="5" s="1"/>
  <c r="G48" i="5" s="1"/>
  <c r="G49" i="5" s="1"/>
  <c r="G50" i="5" s="1"/>
  <c r="G51" i="5" s="1"/>
  <c r="G52" i="5" s="1"/>
  <c r="G57" i="5"/>
  <c r="G59" i="5" s="1"/>
  <c r="G60" i="5" s="1"/>
  <c r="G61" i="5" s="1"/>
  <c r="G62" i="5" s="1"/>
  <c r="G63" i="5" s="1"/>
  <c r="G64" i="5" s="1"/>
  <c r="G65" i="5" s="1"/>
  <c r="N63" i="5"/>
  <c r="AK73" i="5"/>
  <c r="AK74" i="5" s="1"/>
  <c r="AL72" i="5"/>
  <c r="AM72" i="5"/>
  <c r="AK60" i="5"/>
  <c r="AL59" i="5"/>
  <c r="AM59" i="5"/>
  <c r="AK47" i="5"/>
  <c r="AM46" i="5"/>
  <c r="AL46" i="5"/>
  <c r="N91" i="5"/>
  <c r="AM85" i="5"/>
  <c r="AL85" i="5"/>
  <c r="P83" i="5" l="1"/>
  <c r="P85" i="5" s="1"/>
  <c r="P86" i="5" s="1"/>
  <c r="P87" i="5" s="1"/>
  <c r="P70" i="5"/>
  <c r="P72" i="5" s="1"/>
  <c r="P73" i="5" s="1"/>
  <c r="E38" i="5"/>
  <c r="F57" i="5" s="1"/>
  <c r="F59" i="5" s="1"/>
  <c r="F60" i="5" s="1"/>
  <c r="F61" i="5" s="1"/>
  <c r="F62" i="5" s="1"/>
  <c r="F63" i="5" s="1"/>
  <c r="F64" i="5" s="1"/>
  <c r="F65" i="5" s="1"/>
  <c r="Y83" i="5"/>
  <c r="Y85" i="5" s="1"/>
  <c r="Y86" i="5" s="1"/>
  <c r="Y87" i="5" s="1"/>
  <c r="Y88" i="5" s="1"/>
  <c r="Y89" i="5" s="1"/>
  <c r="R21" i="5"/>
  <c r="M17" i="6" s="1"/>
  <c r="N48" i="5"/>
  <c r="N49" i="5" s="1"/>
  <c r="N50" i="5" s="1"/>
  <c r="N51" i="5" s="1"/>
  <c r="N52" i="5" s="1"/>
  <c r="Y70" i="5"/>
  <c r="Y72" i="5" s="1"/>
  <c r="Y73" i="5" s="1"/>
  <c r="Y74" i="5" s="1"/>
  <c r="Y75" i="5" s="1"/>
  <c r="Y76" i="5" s="1"/>
  <c r="Y77" i="5" s="1"/>
  <c r="Y78" i="5" s="1"/>
  <c r="Y44" i="5"/>
  <c r="Y46" i="5" s="1"/>
  <c r="Y47" i="5" s="1"/>
  <c r="Y48" i="5" s="1"/>
  <c r="Y49" i="5" s="1"/>
  <c r="Y50" i="5" s="1"/>
  <c r="Y51" i="5" s="1"/>
  <c r="Y52" i="5" s="1"/>
  <c r="Q57" i="5"/>
  <c r="Q59" i="5" s="1"/>
  <c r="Q60" i="5" s="1"/>
  <c r="Q61" i="5" s="1"/>
  <c r="Q62" i="5" s="1"/>
  <c r="Q63" i="5" s="1"/>
  <c r="Q64" i="5" s="1"/>
  <c r="Q65" i="5" s="1"/>
  <c r="Q70" i="5"/>
  <c r="Q72" i="5" s="1"/>
  <c r="Q44" i="5"/>
  <c r="Q46" i="5" s="1"/>
  <c r="Q47" i="5" s="1"/>
  <c r="Q48" i="5" s="1"/>
  <c r="Q49" i="5" s="1"/>
  <c r="Q50" i="5" s="1"/>
  <c r="Q51" i="5" s="1"/>
  <c r="Q52" i="5" s="1"/>
  <c r="X44" i="5"/>
  <c r="X46" i="5" s="1"/>
  <c r="AC46" i="5" s="1"/>
  <c r="X57" i="5"/>
  <c r="AB57" i="5" s="1"/>
  <c r="X70" i="5"/>
  <c r="AC70" i="5" s="1"/>
  <c r="F83" i="5"/>
  <c r="F85" i="5" s="1"/>
  <c r="F86" i="5" s="1"/>
  <c r="F87" i="5" s="1"/>
  <c r="F88" i="5" s="1"/>
  <c r="F89" i="5" s="1"/>
  <c r="F90" i="5" s="1"/>
  <c r="F91" i="5" s="1"/>
  <c r="E83" i="5"/>
  <c r="E85" i="5" s="1"/>
  <c r="E86" i="5" s="1"/>
  <c r="E87" i="5" s="1"/>
  <c r="E88" i="5" s="1"/>
  <c r="E89" i="5" s="1"/>
  <c r="E90" i="5" s="1"/>
  <c r="E91" i="5" s="1"/>
  <c r="E44" i="5"/>
  <c r="E46" i="5" s="1"/>
  <c r="E47" i="5" s="1"/>
  <c r="E48" i="5" s="1"/>
  <c r="E57" i="5"/>
  <c r="E59" i="5" s="1"/>
  <c r="E60" i="5" s="1"/>
  <c r="E61" i="5" s="1"/>
  <c r="E62" i="5" s="1"/>
  <c r="E63" i="5" s="1"/>
  <c r="E64" i="5" s="1"/>
  <c r="E65" i="5" s="1"/>
  <c r="D44" i="5"/>
  <c r="D46" i="5" s="1"/>
  <c r="D57" i="5"/>
  <c r="D59" i="5" s="1"/>
  <c r="D70" i="5"/>
  <c r="D72" i="5" s="1"/>
  <c r="Q85" i="5"/>
  <c r="R83" i="5"/>
  <c r="S83" i="5"/>
  <c r="O88" i="5"/>
  <c r="O89" i="5" s="1"/>
  <c r="AA64" i="5"/>
  <c r="AA65" i="5" s="1"/>
  <c r="AA88" i="5"/>
  <c r="AA89" i="5" s="1"/>
  <c r="AA75" i="5"/>
  <c r="AA76" i="5" s="1"/>
  <c r="Z88" i="5"/>
  <c r="Z89" i="5" s="1"/>
  <c r="X86" i="5"/>
  <c r="X87" i="5" s="1"/>
  <c r="P88" i="5"/>
  <c r="P89" i="5" s="1"/>
  <c r="P74" i="5"/>
  <c r="P61" i="5"/>
  <c r="P48" i="5"/>
  <c r="D85" i="5"/>
  <c r="N78" i="5"/>
  <c r="N64" i="5"/>
  <c r="AK75" i="5"/>
  <c r="AK76" i="5" s="1"/>
  <c r="AM74" i="5"/>
  <c r="AL74" i="5"/>
  <c r="AM47" i="5"/>
  <c r="AL47" i="5"/>
  <c r="AI87" i="5"/>
  <c r="AI88" i="5" s="1"/>
  <c r="AJ87" i="5"/>
  <c r="AJ88" i="5" s="1"/>
  <c r="AK87" i="5"/>
  <c r="AK88" i="5" s="1"/>
  <c r="AK48" i="5"/>
  <c r="AM60" i="5"/>
  <c r="AL60" i="5"/>
  <c r="AK61" i="5"/>
  <c r="AM73" i="5"/>
  <c r="AL73" i="5"/>
  <c r="R59" i="5" l="1"/>
  <c r="S59" i="5"/>
  <c r="F70" i="5"/>
  <c r="F72" i="5" s="1"/>
  <c r="F73" i="5" s="1"/>
  <c r="F74" i="5" s="1"/>
  <c r="F75" i="5" s="1"/>
  <c r="F76" i="5" s="1"/>
  <c r="F77" i="5" s="1"/>
  <c r="F78" i="5" s="1"/>
  <c r="F44" i="5"/>
  <c r="F46" i="5" s="1"/>
  <c r="F47" i="5" s="1"/>
  <c r="F48" i="5" s="1"/>
  <c r="F49" i="5" s="1"/>
  <c r="F50" i="5" s="1"/>
  <c r="F51" i="5" s="1"/>
  <c r="F52" i="5" s="1"/>
  <c r="S47" i="5"/>
  <c r="R60" i="5"/>
  <c r="S60" i="5"/>
  <c r="S57" i="5"/>
  <c r="R57" i="5"/>
  <c r="AC83" i="5"/>
  <c r="AB83" i="5"/>
  <c r="AB85" i="5"/>
  <c r="AC85" i="5"/>
  <c r="AC57" i="5"/>
  <c r="S44" i="5"/>
  <c r="AB70" i="5"/>
  <c r="S46" i="5"/>
  <c r="S70" i="5"/>
  <c r="R70" i="5"/>
  <c r="R47" i="5"/>
  <c r="R44" i="5"/>
  <c r="R46" i="5"/>
  <c r="X72" i="5"/>
  <c r="X73" i="5" s="1"/>
  <c r="AC73" i="5" s="1"/>
  <c r="AB44" i="5"/>
  <c r="X47" i="5"/>
  <c r="AC47" i="5" s="1"/>
  <c r="AB46" i="5"/>
  <c r="AC44" i="5"/>
  <c r="X59" i="5"/>
  <c r="X60" i="5" s="1"/>
  <c r="AB60" i="5" s="1"/>
  <c r="H83" i="5"/>
  <c r="I83" i="5"/>
  <c r="H57" i="5"/>
  <c r="I57" i="5"/>
  <c r="Q86" i="5"/>
  <c r="S85" i="5"/>
  <c r="R85" i="5"/>
  <c r="Q73" i="5"/>
  <c r="R72" i="5"/>
  <c r="S72" i="5"/>
  <c r="O90" i="5"/>
  <c r="O91" i="5" s="1"/>
  <c r="AA77" i="5"/>
  <c r="AA78" i="5" s="1"/>
  <c r="AA90" i="5"/>
  <c r="AA91" i="5" s="1"/>
  <c r="Z90" i="5"/>
  <c r="Z91" i="5" s="1"/>
  <c r="Y90" i="5"/>
  <c r="Y91" i="5" s="1"/>
  <c r="X88" i="5"/>
  <c r="X89" i="5" s="1"/>
  <c r="AB87" i="5"/>
  <c r="AC87" i="5"/>
  <c r="AC86" i="5"/>
  <c r="AB86" i="5"/>
  <c r="P49" i="5"/>
  <c r="R48" i="5"/>
  <c r="S48" i="5"/>
  <c r="P62" i="5"/>
  <c r="S61" i="5"/>
  <c r="R61" i="5"/>
  <c r="P75" i="5"/>
  <c r="P90" i="5"/>
  <c r="P91" i="5" s="1"/>
  <c r="E49" i="5"/>
  <c r="E50" i="5" s="1"/>
  <c r="D86" i="5"/>
  <c r="D87" i="5" s="1"/>
  <c r="I85" i="5"/>
  <c r="H85" i="5"/>
  <c r="D73" i="5"/>
  <c r="D74" i="5" s="1"/>
  <c r="D60" i="5"/>
  <c r="H59" i="5"/>
  <c r="I59" i="5"/>
  <c r="D47" i="5"/>
  <c r="H46" i="5"/>
  <c r="N65" i="5"/>
  <c r="AK62" i="5"/>
  <c r="AK63" i="5" s="1"/>
  <c r="AL61" i="5"/>
  <c r="AM61" i="5"/>
  <c r="AL86" i="5"/>
  <c r="AM86" i="5"/>
  <c r="AH87" i="5"/>
  <c r="AH88" i="5" s="1"/>
  <c r="AK77" i="5"/>
  <c r="AK78" i="5" s="1"/>
  <c r="AH79" i="5" s="1"/>
  <c r="AM76" i="5"/>
  <c r="AL76" i="5"/>
  <c r="AK49" i="5"/>
  <c r="AM48" i="5"/>
  <c r="AL48" i="5"/>
  <c r="AL75" i="5"/>
  <c r="AM75" i="5"/>
  <c r="I72" i="5" l="1"/>
  <c r="H70" i="5"/>
  <c r="H72" i="5"/>
  <c r="I70" i="5"/>
  <c r="I44" i="5"/>
  <c r="H44" i="5"/>
  <c r="I46" i="5"/>
  <c r="AM79" i="5"/>
  <c r="AL79" i="5"/>
  <c r="AB72" i="5"/>
  <c r="AC72" i="5"/>
  <c r="AB59" i="5"/>
  <c r="X74" i="5"/>
  <c r="X75" i="5" s="1"/>
  <c r="AB73" i="5"/>
  <c r="X48" i="5"/>
  <c r="AC48" i="5" s="1"/>
  <c r="AC59" i="5"/>
  <c r="X61" i="5"/>
  <c r="X62" i="5" s="1"/>
  <c r="AC60" i="5"/>
  <c r="AB47" i="5"/>
  <c r="Q74" i="5"/>
  <c r="S73" i="5"/>
  <c r="R73" i="5"/>
  <c r="Q87" i="5"/>
  <c r="R86" i="5"/>
  <c r="S86" i="5"/>
  <c r="X90" i="5"/>
  <c r="X91" i="5" s="1"/>
  <c r="X92" i="5" s="1"/>
  <c r="AC89" i="5"/>
  <c r="AB89" i="5"/>
  <c r="AC88" i="5"/>
  <c r="AB88" i="5"/>
  <c r="P76" i="5"/>
  <c r="P63" i="5"/>
  <c r="R62" i="5"/>
  <c r="S62" i="5"/>
  <c r="P50" i="5"/>
  <c r="S49" i="5"/>
  <c r="R49" i="5"/>
  <c r="E51" i="5"/>
  <c r="E52" i="5" s="1"/>
  <c r="H74" i="5"/>
  <c r="D75" i="5"/>
  <c r="I74" i="5"/>
  <c r="H47" i="5"/>
  <c r="I47" i="5"/>
  <c r="D61" i="5"/>
  <c r="I60" i="5"/>
  <c r="H60" i="5"/>
  <c r="D48" i="5"/>
  <c r="H73" i="5"/>
  <c r="I73" i="5"/>
  <c r="I87" i="5"/>
  <c r="H87" i="5"/>
  <c r="D88" i="5"/>
  <c r="I86" i="5"/>
  <c r="H86" i="5"/>
  <c r="P97" i="5"/>
  <c r="N105" i="5" s="1"/>
  <c r="AM78" i="5"/>
  <c r="AL78" i="5"/>
  <c r="AM87" i="5"/>
  <c r="AL87" i="5"/>
  <c r="AM49" i="5"/>
  <c r="AL49" i="5"/>
  <c r="AL77" i="5"/>
  <c r="AM77" i="5"/>
  <c r="AK64" i="5"/>
  <c r="AL63" i="5"/>
  <c r="AM63" i="5"/>
  <c r="AM62" i="5"/>
  <c r="AL62" i="5"/>
  <c r="AK50" i="5"/>
  <c r="AC92" i="5" l="1"/>
  <c r="AB92" i="5"/>
  <c r="X49" i="5"/>
  <c r="AC74" i="5"/>
  <c r="AB74" i="5"/>
  <c r="AC61" i="5"/>
  <c r="AB61" i="5"/>
  <c r="AB48" i="5"/>
  <c r="S105" i="5"/>
  <c r="Q88" i="5"/>
  <c r="R87" i="5"/>
  <c r="S87" i="5"/>
  <c r="Q75" i="5"/>
  <c r="R74" i="5"/>
  <c r="S74" i="5"/>
  <c r="X76" i="5"/>
  <c r="AC75" i="5"/>
  <c r="AB75" i="5"/>
  <c r="X63" i="5"/>
  <c r="AC62" i="5"/>
  <c r="AB62" i="5"/>
  <c r="X50" i="5"/>
  <c r="AC49" i="5"/>
  <c r="AB49" i="5"/>
  <c r="AB91" i="5"/>
  <c r="AC91" i="5"/>
  <c r="O98" i="5"/>
  <c r="AC90" i="5"/>
  <c r="AB90" i="5"/>
  <c r="P51" i="5"/>
  <c r="S50" i="5"/>
  <c r="R50" i="5"/>
  <c r="P64" i="5"/>
  <c r="R63" i="5"/>
  <c r="S63" i="5"/>
  <c r="P77" i="5"/>
  <c r="D49" i="5"/>
  <c r="D50" i="5" s="1"/>
  <c r="I48" i="5"/>
  <c r="H48" i="5"/>
  <c r="D62" i="5"/>
  <c r="H61" i="5"/>
  <c r="I61" i="5"/>
  <c r="D89" i="5"/>
  <c r="H88" i="5"/>
  <c r="I88" i="5"/>
  <c r="D76" i="5"/>
  <c r="I75" i="5"/>
  <c r="H75" i="5"/>
  <c r="K105" i="5"/>
  <c r="U97" i="5"/>
  <c r="K97" i="5"/>
  <c r="AM64" i="5"/>
  <c r="AL64" i="5"/>
  <c r="AK65" i="5"/>
  <c r="AH66" i="5" s="1"/>
  <c r="AI89" i="5"/>
  <c r="AI90" i="5" s="1"/>
  <c r="AK89" i="5"/>
  <c r="AK90" i="5" s="1"/>
  <c r="AJ89" i="5"/>
  <c r="AJ90" i="5" s="1"/>
  <c r="AK51" i="5"/>
  <c r="AL50" i="5"/>
  <c r="AM50" i="5"/>
  <c r="AM66" i="5" l="1"/>
  <c r="AL66" i="5"/>
  <c r="N48" i="6"/>
  <c r="F127" i="5"/>
  <c r="P40" i="6"/>
  <c r="K40" i="6"/>
  <c r="K48" i="6"/>
  <c r="Q76" i="5"/>
  <c r="S75" i="5"/>
  <c r="R75" i="5"/>
  <c r="Q89" i="5"/>
  <c r="S88" i="5"/>
  <c r="R88" i="5"/>
  <c r="N106" i="5"/>
  <c r="J98" i="5"/>
  <c r="T98" i="5"/>
  <c r="X51" i="5"/>
  <c r="AC50" i="5"/>
  <c r="AB50" i="5"/>
  <c r="X64" i="5"/>
  <c r="AB63" i="5"/>
  <c r="AC63" i="5"/>
  <c r="X77" i="5"/>
  <c r="AC76" i="5"/>
  <c r="AB76" i="5"/>
  <c r="P78" i="5"/>
  <c r="P65" i="5"/>
  <c r="N66" i="5" s="1"/>
  <c r="S64" i="5"/>
  <c r="R64" i="5"/>
  <c r="P52" i="5"/>
  <c r="N53" i="5" s="1"/>
  <c r="S51" i="5"/>
  <c r="R51" i="5"/>
  <c r="D51" i="5"/>
  <c r="D52" i="5" s="1"/>
  <c r="D53" i="5" s="1"/>
  <c r="H50" i="5"/>
  <c r="I50" i="5"/>
  <c r="H62" i="5"/>
  <c r="I62" i="5"/>
  <c r="D77" i="5"/>
  <c r="D78" i="5" s="1"/>
  <c r="D79" i="5" s="1"/>
  <c r="I76" i="5"/>
  <c r="H76" i="5"/>
  <c r="D90" i="5"/>
  <c r="D91" i="5" s="1"/>
  <c r="D92" i="5" s="1"/>
  <c r="I89" i="5"/>
  <c r="H89" i="5"/>
  <c r="D63" i="5"/>
  <c r="I49" i="5"/>
  <c r="H49" i="5"/>
  <c r="AL51" i="5"/>
  <c r="AM51" i="5"/>
  <c r="AL88" i="5"/>
  <c r="AM88" i="5"/>
  <c r="AH89" i="5"/>
  <c r="AH90" i="5" s="1"/>
  <c r="AM65" i="5"/>
  <c r="AL65" i="5"/>
  <c r="P96" i="5"/>
  <c r="M104" i="5" s="1"/>
  <c r="AK52" i="5"/>
  <c r="AH53" i="5" s="1"/>
  <c r="I92" i="5" l="1"/>
  <c r="H92" i="5"/>
  <c r="I79" i="5"/>
  <c r="H79" i="5"/>
  <c r="S66" i="5"/>
  <c r="R66" i="5"/>
  <c r="S53" i="5"/>
  <c r="R53" i="5"/>
  <c r="AM53" i="5"/>
  <c r="AL53" i="5"/>
  <c r="I53" i="5"/>
  <c r="H53" i="5"/>
  <c r="O41" i="6"/>
  <c r="J41" i="6"/>
  <c r="R104" i="5"/>
  <c r="D120" i="5" s="1"/>
  <c r="Q90" i="5"/>
  <c r="R89" i="5"/>
  <c r="S89" i="5"/>
  <c r="Q77" i="5"/>
  <c r="S76" i="5"/>
  <c r="R76" i="5"/>
  <c r="X65" i="5"/>
  <c r="X66" i="5" s="1"/>
  <c r="AB64" i="5"/>
  <c r="AC64" i="5"/>
  <c r="X52" i="5"/>
  <c r="X53" i="5" s="1"/>
  <c r="AB51" i="5"/>
  <c r="AC51" i="5"/>
  <c r="X78" i="5"/>
  <c r="X79" i="5" s="1"/>
  <c r="AC77" i="5"/>
  <c r="AB77" i="5"/>
  <c r="S106" i="5"/>
  <c r="F136" i="5" s="1"/>
  <c r="J106" i="5"/>
  <c r="J49" i="6" s="1"/>
  <c r="R52" i="5"/>
  <c r="S52" i="5"/>
  <c r="N95" i="5"/>
  <c r="S65" i="5"/>
  <c r="R65" i="5"/>
  <c r="N96" i="5"/>
  <c r="M95" i="5"/>
  <c r="H52" i="5"/>
  <c r="I52" i="5"/>
  <c r="M98" i="5"/>
  <c r="H91" i="5"/>
  <c r="I91" i="5"/>
  <c r="I77" i="5"/>
  <c r="H77" i="5"/>
  <c r="H78" i="5"/>
  <c r="M97" i="5"/>
  <c r="I78" i="5"/>
  <c r="D64" i="5"/>
  <c r="D65" i="5" s="1"/>
  <c r="D66" i="5" s="1"/>
  <c r="I63" i="5"/>
  <c r="H63" i="5"/>
  <c r="H90" i="5"/>
  <c r="I90" i="5"/>
  <c r="I51" i="5"/>
  <c r="H51" i="5"/>
  <c r="K104" i="5"/>
  <c r="F128" i="5"/>
  <c r="F129" i="5" s="1"/>
  <c r="G128" i="5"/>
  <c r="G129" i="5" s="1"/>
  <c r="U96" i="5"/>
  <c r="K96" i="5"/>
  <c r="AM52" i="5"/>
  <c r="AL52" i="5"/>
  <c r="P95" i="5"/>
  <c r="P103" i="5" s="1"/>
  <c r="U103" i="5" s="1"/>
  <c r="AM89" i="5"/>
  <c r="AL89" i="5"/>
  <c r="AC79" i="5" l="1"/>
  <c r="AB79" i="5"/>
  <c r="I66" i="5"/>
  <c r="H66" i="5"/>
  <c r="AC66" i="5"/>
  <c r="AB66" i="5"/>
  <c r="C120" i="5"/>
  <c r="AC53" i="5"/>
  <c r="AB53" i="5"/>
  <c r="M47" i="6"/>
  <c r="C119" i="5"/>
  <c r="P46" i="6"/>
  <c r="L111" i="5"/>
  <c r="P39" i="6"/>
  <c r="K39" i="6"/>
  <c r="K47" i="6"/>
  <c r="Q78" i="5"/>
  <c r="N79" i="5" s="1"/>
  <c r="S77" i="5"/>
  <c r="R77" i="5"/>
  <c r="Q91" i="5"/>
  <c r="N92" i="5" s="1"/>
  <c r="S90" i="5"/>
  <c r="R90" i="5"/>
  <c r="N49" i="6"/>
  <c r="G137" i="5"/>
  <c r="G138" i="5" s="1"/>
  <c r="F137" i="5"/>
  <c r="F138" i="5" s="1"/>
  <c r="AC78" i="5"/>
  <c r="O97" i="5"/>
  <c r="AB78" i="5"/>
  <c r="AC52" i="5"/>
  <c r="AB52" i="5"/>
  <c r="O95" i="5"/>
  <c r="AB65" i="5"/>
  <c r="AC65" i="5"/>
  <c r="O96" i="5"/>
  <c r="O104" i="5"/>
  <c r="I96" i="5"/>
  <c r="S96" i="5"/>
  <c r="N103" i="5"/>
  <c r="S95" i="5"/>
  <c r="I95" i="5"/>
  <c r="H64" i="5"/>
  <c r="I64" i="5"/>
  <c r="O105" i="5"/>
  <c r="R97" i="5"/>
  <c r="H97" i="5"/>
  <c r="H40" i="6" s="1"/>
  <c r="P106" i="5"/>
  <c r="U106" i="5" s="1"/>
  <c r="R98" i="5"/>
  <c r="H98" i="5"/>
  <c r="H41" i="6" s="1"/>
  <c r="H65" i="5"/>
  <c r="M96" i="5"/>
  <c r="I65" i="5"/>
  <c r="M103" i="5"/>
  <c r="R95" i="5"/>
  <c r="H95" i="5"/>
  <c r="F131" i="5"/>
  <c r="F132" i="5" s="1"/>
  <c r="U95" i="5"/>
  <c r="K95" i="5"/>
  <c r="AI91" i="5"/>
  <c r="AJ91" i="5"/>
  <c r="AK91" i="5"/>
  <c r="S92" i="5" l="1"/>
  <c r="R92" i="5"/>
  <c r="S79" i="5"/>
  <c r="R79" i="5"/>
  <c r="P49" i="6"/>
  <c r="L136" i="5"/>
  <c r="P38" i="6"/>
  <c r="N39" i="6"/>
  <c r="N38" i="6"/>
  <c r="M40" i="6"/>
  <c r="M41" i="6"/>
  <c r="M38" i="6"/>
  <c r="I39" i="6"/>
  <c r="K38" i="6"/>
  <c r="I38" i="6"/>
  <c r="H38" i="6"/>
  <c r="F140" i="5"/>
  <c r="F141" i="5" s="1"/>
  <c r="S91" i="5"/>
  <c r="N98" i="5"/>
  <c r="R91" i="5"/>
  <c r="S78" i="5"/>
  <c r="R78" i="5"/>
  <c r="N97" i="5"/>
  <c r="P104" i="5"/>
  <c r="T96" i="5"/>
  <c r="J96" i="5"/>
  <c r="O103" i="5"/>
  <c r="J95" i="5"/>
  <c r="T95" i="5"/>
  <c r="M105" i="5"/>
  <c r="J97" i="5"/>
  <c r="T97" i="5"/>
  <c r="S103" i="5"/>
  <c r="F111" i="5" s="1"/>
  <c r="I103" i="5"/>
  <c r="I46" i="6" s="1"/>
  <c r="T104" i="5"/>
  <c r="I104" i="5"/>
  <c r="I47" i="6" s="1"/>
  <c r="R103" i="5"/>
  <c r="C111" i="5" s="1"/>
  <c r="H103" i="5"/>
  <c r="H46" i="6" s="1"/>
  <c r="T105" i="5"/>
  <c r="I127" i="5" s="1"/>
  <c r="H105" i="5"/>
  <c r="H48" i="6" s="1"/>
  <c r="N104" i="5"/>
  <c r="H96" i="5"/>
  <c r="H39" i="6" s="1"/>
  <c r="R96" i="5"/>
  <c r="N146" i="5"/>
  <c r="S146" i="5" s="1"/>
  <c r="N56" i="6" s="1"/>
  <c r="K103" i="5"/>
  <c r="AM90" i="5"/>
  <c r="AL90" i="5"/>
  <c r="AH91" i="5"/>
  <c r="AH92" i="5" s="1"/>
  <c r="AM92" i="5" l="1"/>
  <c r="AL92" i="5"/>
  <c r="O47" i="6"/>
  <c r="I119" i="5"/>
  <c r="O40" i="6"/>
  <c r="O38" i="6"/>
  <c r="O39" i="6"/>
  <c r="M39" i="6"/>
  <c r="J39" i="6"/>
  <c r="J40" i="6"/>
  <c r="J38" i="6"/>
  <c r="K46" i="6"/>
  <c r="N147" i="5"/>
  <c r="S147" i="5" s="1"/>
  <c r="N57" i="6" s="1"/>
  <c r="S97" i="5"/>
  <c r="I97" i="5"/>
  <c r="P105" i="5"/>
  <c r="M106" i="5"/>
  <c r="S98" i="5"/>
  <c r="I98" i="5"/>
  <c r="J120" i="5"/>
  <c r="J121" i="5" s="1"/>
  <c r="T103" i="5"/>
  <c r="I111" i="5" s="1"/>
  <c r="J103" i="5"/>
  <c r="J46" i="6" s="1"/>
  <c r="R105" i="5"/>
  <c r="C127" i="5" s="1"/>
  <c r="J105" i="5"/>
  <c r="J48" i="6" s="1"/>
  <c r="U104" i="5"/>
  <c r="L119" i="5" s="1"/>
  <c r="J104" i="5"/>
  <c r="J47" i="6" s="1"/>
  <c r="I120" i="5"/>
  <c r="I121" i="5" s="1"/>
  <c r="N46" i="6"/>
  <c r="G112" i="5"/>
  <c r="G113" i="5" s="1"/>
  <c r="F112" i="5"/>
  <c r="F113" i="5" s="1"/>
  <c r="I146" i="5"/>
  <c r="I56" i="6" s="1"/>
  <c r="S104" i="5"/>
  <c r="F119" i="5" s="1"/>
  <c r="H104" i="5"/>
  <c r="H47" i="6" s="1"/>
  <c r="O48" i="6"/>
  <c r="J128" i="5"/>
  <c r="J129" i="5" s="1"/>
  <c r="I128" i="5"/>
  <c r="I129" i="5" s="1"/>
  <c r="M46" i="6"/>
  <c r="D112" i="5"/>
  <c r="D113" i="5" s="1"/>
  <c r="C112" i="5"/>
  <c r="C113" i="5" s="1"/>
  <c r="M112" i="5"/>
  <c r="M113" i="5" s="1"/>
  <c r="L112" i="5"/>
  <c r="L113" i="5" s="1"/>
  <c r="P98" i="5"/>
  <c r="O106" i="5" s="1"/>
  <c r="AM91" i="5"/>
  <c r="AL91" i="5"/>
  <c r="N40" i="6" l="1"/>
  <c r="N41" i="6"/>
  <c r="I41" i="6"/>
  <c r="I40" i="6"/>
  <c r="I147" i="5"/>
  <c r="I57" i="6" s="1"/>
  <c r="T106" i="5"/>
  <c r="R106" i="5"/>
  <c r="I106" i="5"/>
  <c r="I49" i="6" s="1"/>
  <c r="I123" i="5"/>
  <c r="O145" i="5" s="1"/>
  <c r="T145" i="5" s="1"/>
  <c r="O55" i="6" s="1"/>
  <c r="I105" i="5"/>
  <c r="I48" i="6" s="1"/>
  <c r="U105" i="5"/>
  <c r="L127" i="5" s="1"/>
  <c r="F115" i="5"/>
  <c r="N144" i="5" s="1"/>
  <c r="I131" i="5"/>
  <c r="I132" i="5" s="1"/>
  <c r="O46" i="6"/>
  <c r="J112" i="5"/>
  <c r="J113" i="5" s="1"/>
  <c r="I112" i="5"/>
  <c r="I113" i="5" s="1"/>
  <c r="P47" i="6"/>
  <c r="L120" i="5"/>
  <c r="L121" i="5" s="1"/>
  <c r="M120" i="5"/>
  <c r="M121" i="5" s="1"/>
  <c r="M48" i="6"/>
  <c r="C128" i="5"/>
  <c r="C129" i="5" s="1"/>
  <c r="D128" i="5"/>
  <c r="D129" i="5" s="1"/>
  <c r="C115" i="5"/>
  <c r="M144" i="5" s="1"/>
  <c r="N47" i="6"/>
  <c r="F120" i="5"/>
  <c r="F121" i="5" s="1"/>
  <c r="G120" i="5"/>
  <c r="G121" i="5" s="1"/>
  <c r="L115" i="5"/>
  <c r="P144" i="5" s="1"/>
  <c r="U144" i="5" s="1"/>
  <c r="P54" i="6" s="1"/>
  <c r="I137" i="5"/>
  <c r="I138" i="5" s="1"/>
  <c r="K106" i="5"/>
  <c r="U98" i="5"/>
  <c r="K98" i="5"/>
  <c r="M49" i="6" l="1"/>
  <c r="C136" i="5"/>
  <c r="O49" i="6"/>
  <c r="I136" i="5"/>
  <c r="P41" i="6"/>
  <c r="J137" i="5"/>
  <c r="J138" i="5" s="1"/>
  <c r="I140" i="5" s="1"/>
  <c r="K41" i="6"/>
  <c r="K49" i="6"/>
  <c r="J145" i="5"/>
  <c r="J55" i="6" s="1"/>
  <c r="I124" i="5"/>
  <c r="L128" i="5"/>
  <c r="L129" i="5" s="1"/>
  <c r="M128" i="5"/>
  <c r="M129" i="5" s="1"/>
  <c r="P48" i="6"/>
  <c r="F116" i="5"/>
  <c r="O146" i="5"/>
  <c r="T146" i="5" s="1"/>
  <c r="O56" i="6" s="1"/>
  <c r="I115" i="5"/>
  <c r="O144" i="5" s="1"/>
  <c r="C116" i="5"/>
  <c r="C131" i="5"/>
  <c r="L123" i="5"/>
  <c r="S144" i="5"/>
  <c r="N54" i="6" s="1"/>
  <c r="I144" i="5"/>
  <c r="I54" i="6" s="1"/>
  <c r="F123" i="5"/>
  <c r="H144" i="5"/>
  <c r="H54" i="6" s="1"/>
  <c r="R144" i="5"/>
  <c r="M54" i="6" s="1"/>
  <c r="L116" i="5"/>
  <c r="K144" i="5"/>
  <c r="K54" i="6" s="1"/>
  <c r="M137" i="5"/>
  <c r="M138" i="5" s="1"/>
  <c r="L137" i="5"/>
  <c r="L138" i="5" s="1"/>
  <c r="H106" i="5"/>
  <c r="H49" i="6" s="1"/>
  <c r="I116" i="5" l="1"/>
  <c r="J146" i="5"/>
  <c r="J56" i="6" s="1"/>
  <c r="L131" i="5"/>
  <c r="T144" i="5"/>
  <c r="O54" i="6" s="1"/>
  <c r="J144" i="5"/>
  <c r="J54" i="6" s="1"/>
  <c r="P145" i="5"/>
  <c r="L124" i="5"/>
  <c r="M146" i="5"/>
  <c r="C132" i="5"/>
  <c r="N145" i="5"/>
  <c r="F124" i="5"/>
  <c r="L140" i="5"/>
  <c r="P147" i="5" s="1"/>
  <c r="U147" i="5" s="1"/>
  <c r="P57" i="6" s="1"/>
  <c r="O147" i="5"/>
  <c r="I141" i="5"/>
  <c r="D137" i="5"/>
  <c r="D138" i="5" s="1"/>
  <c r="C137" i="5"/>
  <c r="C138" i="5" s="1"/>
  <c r="D121" i="5"/>
  <c r="C121" i="5"/>
  <c r="P146" i="5" l="1"/>
  <c r="O151" i="5" s="1" a="1"/>
  <c r="R174" i="5" s="1"/>
  <c r="R70" i="6" s="1"/>
  <c r="L132" i="5"/>
  <c r="R146" i="5"/>
  <c r="M56" i="6" s="1"/>
  <c r="H146" i="5"/>
  <c r="H56" i="6" s="1"/>
  <c r="U145" i="5"/>
  <c r="P55" i="6" s="1"/>
  <c r="K145" i="5"/>
  <c r="K55" i="6" s="1"/>
  <c r="S145" i="5"/>
  <c r="N55" i="6" s="1"/>
  <c r="G151" i="5" a="1"/>
  <c r="I145" i="5"/>
  <c r="I55" i="6" s="1"/>
  <c r="L141" i="5"/>
  <c r="C140" i="5"/>
  <c r="M147" i="5" s="1"/>
  <c r="R147" i="5" s="1"/>
  <c r="M57" i="6" s="1"/>
  <c r="C123" i="5"/>
  <c r="M145" i="5" s="1"/>
  <c r="R145" i="5" s="1"/>
  <c r="M55" i="6" s="1"/>
  <c r="T147" i="5"/>
  <c r="O57" i="6" s="1"/>
  <c r="J147" i="5"/>
  <c r="J57" i="6" s="1"/>
  <c r="K151" i="5" a="1"/>
  <c r="K147" i="5"/>
  <c r="K57" i="6" s="1"/>
  <c r="R69" i="6" l="1"/>
  <c r="R71" i="6"/>
  <c r="K146" i="5"/>
  <c r="K56" i="6" s="1"/>
  <c r="U146" i="5"/>
  <c r="P56" i="6" s="1"/>
  <c r="Q174" i="5"/>
  <c r="Q70" i="6" s="1"/>
  <c r="P174" i="5"/>
  <c r="P70" i="6" s="1"/>
  <c r="C141" i="5"/>
  <c r="O151" i="5"/>
  <c r="O174" i="5" s="1"/>
  <c r="O70" i="6" s="1"/>
  <c r="H174" i="5"/>
  <c r="H70" i="6" s="1"/>
  <c r="I174" i="5"/>
  <c r="I70" i="6" s="1"/>
  <c r="G151" i="5"/>
  <c r="G174" i="5" s="1"/>
  <c r="G70" i="6" s="1"/>
  <c r="J174" i="5"/>
  <c r="J70" i="6" s="1"/>
  <c r="C151" i="5" a="1"/>
  <c r="D174" i="5" s="1"/>
  <c r="D70" i="6" s="1"/>
  <c r="C124" i="5"/>
  <c r="R179" i="5"/>
  <c r="N174" i="5"/>
  <c r="N70" i="6" s="1"/>
  <c r="K151" i="5"/>
  <c r="K174" i="5" s="1"/>
  <c r="K70" i="6" s="1"/>
  <c r="L174" i="5"/>
  <c r="L70" i="6" s="1"/>
  <c r="M174" i="5"/>
  <c r="M70" i="6" s="1"/>
  <c r="H145" i="5"/>
  <c r="H55" i="6" s="1"/>
  <c r="H147" i="5"/>
  <c r="H57" i="6" s="1"/>
  <c r="Q179" i="5" l="1"/>
  <c r="Q181" i="5" s="1"/>
  <c r="R181" i="5"/>
  <c r="R74" i="6"/>
  <c r="R76" i="6" s="1"/>
  <c r="D69" i="6"/>
  <c r="D71" i="6"/>
  <c r="Q69" i="6"/>
  <c r="Q71" i="6"/>
  <c r="I69" i="6"/>
  <c r="I71" i="6"/>
  <c r="K69" i="6"/>
  <c r="K71" i="6"/>
  <c r="J69" i="6"/>
  <c r="J71" i="6"/>
  <c r="H69" i="6"/>
  <c r="H71" i="6"/>
  <c r="P69" i="6"/>
  <c r="P71" i="6"/>
  <c r="N69" i="6"/>
  <c r="N71" i="6"/>
  <c r="G69" i="6"/>
  <c r="G71" i="6"/>
  <c r="O69" i="6"/>
  <c r="O71" i="6"/>
  <c r="M69" i="6"/>
  <c r="M71" i="6"/>
  <c r="L69" i="6"/>
  <c r="L71" i="6"/>
  <c r="P179" i="5"/>
  <c r="I179" i="5"/>
  <c r="C151" i="5"/>
  <c r="C174" i="5" s="1"/>
  <c r="C179" i="5" s="1"/>
  <c r="J179" i="5"/>
  <c r="E174" i="5"/>
  <c r="F174" i="5"/>
  <c r="H179" i="5"/>
  <c r="G179" i="5"/>
  <c r="L179" i="5"/>
  <c r="D179" i="5"/>
  <c r="M179" i="5"/>
  <c r="N179" i="5"/>
  <c r="K179" i="5"/>
  <c r="O179" i="5"/>
  <c r="Q74" i="6" l="1"/>
  <c r="Q76" i="6" s="1"/>
  <c r="F71" i="6"/>
  <c r="F70" i="6"/>
  <c r="E71" i="6"/>
  <c r="E70" i="6"/>
  <c r="I181" i="5"/>
  <c r="I74" i="6"/>
  <c r="I76" i="6" s="1"/>
  <c r="D181" i="5"/>
  <c r="D74" i="6"/>
  <c r="D76" i="6" s="1"/>
  <c r="P181" i="5"/>
  <c r="P74" i="6"/>
  <c r="P76" i="6" s="1"/>
  <c r="L181" i="5"/>
  <c r="L74" i="6"/>
  <c r="L76" i="6" s="1"/>
  <c r="H181" i="5"/>
  <c r="H74" i="6"/>
  <c r="H76" i="6" s="1"/>
  <c r="O181" i="5"/>
  <c r="O74" i="6"/>
  <c r="O76" i="6" s="1"/>
  <c r="N181" i="5"/>
  <c r="N74" i="6"/>
  <c r="N76" i="6" s="1"/>
  <c r="G181" i="5"/>
  <c r="G74" i="6"/>
  <c r="G76" i="6" s="1"/>
  <c r="J181" i="5"/>
  <c r="J74" i="6"/>
  <c r="J76" i="6" s="1"/>
  <c r="K181" i="5"/>
  <c r="K74" i="6"/>
  <c r="K76" i="6" s="1"/>
  <c r="M181" i="5"/>
  <c r="M74" i="6"/>
  <c r="M76" i="6" s="1"/>
  <c r="F69" i="6"/>
  <c r="E69" i="6"/>
  <c r="F179" i="5"/>
  <c r="E179" i="5"/>
  <c r="C70" i="6"/>
  <c r="E181" i="5" l="1"/>
  <c r="E74" i="6"/>
  <c r="E76" i="6" s="1"/>
  <c r="F181" i="5"/>
  <c r="F74" i="6"/>
  <c r="F76" i="6" s="1"/>
  <c r="C71" i="6"/>
  <c r="C74" i="6"/>
  <c r="C76" i="6" s="1"/>
  <c r="C69" i="6"/>
  <c r="C78" i="6" l="1"/>
  <c r="H4" i="6" s="1"/>
  <c r="C181" i="5"/>
  <c r="D85" i="3"/>
  <c r="F85" i="3" s="1"/>
  <c r="B85" i="3"/>
  <c r="D84" i="3"/>
  <c r="F84" i="3" s="1"/>
  <c r="B84" i="3"/>
  <c r="H66" i="10"/>
  <c r="G66" i="10"/>
  <c r="F68" i="10"/>
  <c r="D68" i="10"/>
  <c r="D69" i="10" s="1"/>
  <c r="E68" i="10"/>
  <c r="E69" i="10" s="1"/>
  <c r="E70" i="10" s="1"/>
  <c r="C68" i="10"/>
  <c r="C183" i="5" l="1"/>
  <c r="H2" i="5" s="1"/>
  <c r="H68" i="10"/>
  <c r="E71" i="10"/>
  <c r="E72" i="10" s="1"/>
  <c r="C69" i="10"/>
  <c r="G68" i="10"/>
  <c r="F69" i="10"/>
  <c r="F70" i="10" s="1"/>
  <c r="D70" i="10"/>
  <c r="F71" i="10" l="1"/>
  <c r="F72" i="10" s="1"/>
  <c r="E73" i="10"/>
  <c r="E74" i="10" s="1"/>
  <c r="D71" i="10"/>
  <c r="D72" i="10" s="1"/>
  <c r="H69" i="10"/>
  <c r="G69" i="10"/>
  <c r="C70" i="10"/>
  <c r="D73" i="10" l="1"/>
  <c r="D74" i="10" s="1"/>
  <c r="F73" i="10"/>
  <c r="F74" i="10" s="1"/>
  <c r="H70" i="10"/>
  <c r="G70" i="10"/>
  <c r="C71" i="10"/>
  <c r="G71" i="10" l="1"/>
  <c r="H71" i="10"/>
  <c r="C72" i="10"/>
  <c r="G72" i="10" l="1"/>
  <c r="C73" i="10"/>
  <c r="H72" i="10"/>
  <c r="G73" i="10" l="1"/>
  <c r="H73" i="10"/>
  <c r="C74" i="10"/>
  <c r="G74" i="10" l="1"/>
  <c r="C75" i="10"/>
  <c r="H7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Wells</author>
  </authors>
  <commentList>
    <comment ref="M24" authorId="0" shapeId="0" xr:uid="{C7B2EC00-5274-4FDB-B6BB-377C5AABA7AE}">
      <text>
        <r>
          <rPr>
            <sz val="20"/>
            <color indexed="81"/>
            <rFont val="Tahoma"/>
            <family val="2"/>
          </rPr>
          <t>These Cells will contain notes attached providing extra bits of information and help for navigating and understanding this document.</t>
        </r>
      </text>
    </comment>
    <comment ref="M30" authorId="0" shapeId="0" xr:uid="{6EABA090-22AB-4500-9081-9F17ECD1EAC1}">
      <text>
        <r>
          <rPr>
            <sz val="20"/>
            <color indexed="81"/>
            <rFont val="Tahoma"/>
            <family val="2"/>
          </rPr>
          <t>These Cells allow for interaction allowing inputs from the user.</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Wells</author>
  </authors>
  <commentList>
    <comment ref="B3" authorId="0" shapeId="0" xr:uid="{E01F2504-CEAE-49DC-8D0A-7C6E334C9D33}">
      <text>
        <r>
          <rPr>
            <b/>
            <sz val="20"/>
            <color indexed="81"/>
            <rFont val="Tahoma"/>
            <family val="2"/>
          </rPr>
          <t xml:space="preserve">Plain text: Allows up to 16 ANSI characters of plain text to be encrypted. </t>
        </r>
        <r>
          <rPr>
            <b/>
            <sz val="9"/>
            <color indexed="81"/>
            <rFont val="Tahoma"/>
            <family val="2"/>
          </rPr>
          <t xml:space="preserve">
</t>
        </r>
      </text>
    </comment>
    <comment ref="B12" authorId="0" shapeId="0" xr:uid="{4E89D301-E1B9-4399-9524-241CCC4A6C62}">
      <text>
        <r>
          <rPr>
            <b/>
            <sz val="20"/>
            <color indexed="81"/>
            <rFont val="Tahoma"/>
            <family val="2"/>
          </rPr>
          <t xml:space="preserve">K_0: Randomly generates 16 bytes using (128 bit) presented in binary, denary and hexadecmial  form and is concantenated (see far right) to form the key K_0.    
Optional: If you would like to use a specific hidden key input in any green cells below for the denary values between 0-255 if left blank or incorrect data type is inputted into K_0,0, ... , K_0,15 cells then a random byte is generated.  </t>
        </r>
      </text>
    </comment>
    <comment ref="B33" authorId="0" shapeId="0" xr:uid="{9C8480AF-DFCB-49DB-921A-868DF2F602E8}">
      <text>
        <r>
          <rPr>
            <b/>
            <sz val="20"/>
            <color indexed="81"/>
            <rFont val="Tahoma"/>
            <family val="2"/>
          </rPr>
          <t xml:space="preserve">XOR: Does a byte to byte XOR of Plain text against K_0. Note that each byte in K_0 is represented as K_0,0 , …, K_0,15.
</t>
        </r>
      </text>
    </comment>
    <comment ref="B46" authorId="0" shapeId="0" xr:uid="{81C67941-3642-44F3-83BE-85431D5B2C8B}">
      <text>
        <r>
          <rPr>
            <b/>
            <sz val="20"/>
            <color indexed="81"/>
            <rFont val="Tahoma"/>
            <family val="2"/>
          </rPr>
          <t xml:space="preserve">SubBytes: Substitutes the input of each byte from the XOR process with a byte from the AES S-BOX from the "AES S-box" sheet.  </t>
        </r>
        <r>
          <rPr>
            <b/>
            <sz val="9"/>
            <color indexed="81"/>
            <rFont val="Tahoma"/>
            <family val="2"/>
          </rPr>
          <t xml:space="preserve">
</t>
        </r>
      </text>
    </comment>
    <comment ref="B56" authorId="0" shapeId="0" xr:uid="{1CB760C8-89B2-4653-996E-09B742E4F0B0}">
      <text>
        <r>
          <rPr>
            <b/>
            <sz val="20"/>
            <color indexed="81"/>
            <rFont val="Tahoma"/>
            <family val="2"/>
          </rPr>
          <t>Shift Rows: Shifts bytes to left for each row by the number of positions indicated to the below.</t>
        </r>
        <r>
          <rPr>
            <b/>
            <sz val="9"/>
            <color indexed="81"/>
            <rFont val="Tahoma"/>
            <family val="2"/>
          </rPr>
          <t xml:space="preserve">
</t>
        </r>
      </text>
    </comment>
    <comment ref="B64" authorId="0" shapeId="0" xr:uid="{492D3AFE-3F7B-4823-9079-5A1A03F560FD}">
      <text>
        <r>
          <rPr>
            <b/>
            <sz val="20"/>
            <color indexed="81"/>
            <rFont val="Tahoma"/>
            <family val="2"/>
          </rPr>
          <t xml:space="preserve">Mix Columns: Does a matrix multiplication between the output from ShiftRows and the 4x4 circulant MDS matrix. This process is explained in greater detail in the "Mix Columns" Sheet.
</t>
        </r>
      </text>
    </comment>
    <comment ref="B87" authorId="0" shapeId="0" xr:uid="{79740517-D13D-43D5-9A63-2790EA528CD8}">
      <text>
        <r>
          <rPr>
            <b/>
            <sz val="20"/>
            <color indexed="81"/>
            <rFont val="Tahoma"/>
            <family val="2"/>
          </rPr>
          <t xml:space="preserve">AddRoundKey: Is a 4-Step Process consisting of RotWord,SubWord,Rcon and a staggered XOR against the previous round key. This process is explained in greater detail in the "Key Schedule" Sheet. 
</t>
        </r>
      </text>
    </comment>
    <comment ref="B113" authorId="0" shapeId="0" xr:uid="{722EA5CB-6A1D-450E-8B2D-9ED433AD3C01}">
      <text>
        <r>
          <rPr>
            <b/>
            <sz val="20"/>
            <color indexed="81"/>
            <rFont val="Tahoma"/>
            <family val="2"/>
          </rPr>
          <t xml:space="preserve">K_1: generated from Add Round Key using previous key (K_0) presented in binary, denary and hexadecmial form and is concantenated (see far right) to form the key K_1.  
</t>
        </r>
      </text>
    </comment>
    <comment ref="B124" authorId="0" shapeId="0" xr:uid="{494C8BBD-7206-4078-9106-9975BA1D7460}">
      <text>
        <r>
          <rPr>
            <b/>
            <sz val="20"/>
            <color indexed="81"/>
            <rFont val="Tahoma"/>
            <family val="2"/>
          </rPr>
          <t xml:space="preserve">XOR: Does a byte to byte XOR of MixColumns output against K_1. Note that each byte in K_1 is represented as K_1,0 , ... , K_1,15.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Wells</author>
  </authors>
  <commentList>
    <comment ref="B4" authorId="0" shapeId="0" xr:uid="{35660407-E89D-4BFF-B763-DCDC1A4BAF37}">
      <text>
        <r>
          <rPr>
            <b/>
            <sz val="20"/>
            <color indexed="81"/>
            <rFont val="Tahoma"/>
            <family val="2"/>
          </rPr>
          <t xml:space="preserve">Cypher text: is the 16 characters of plain text encrypted to be decrypted. </t>
        </r>
        <r>
          <rPr>
            <b/>
            <sz val="9"/>
            <color indexed="81"/>
            <rFont val="Tahoma"/>
            <family val="2"/>
          </rPr>
          <t xml:space="preserve">
</t>
        </r>
      </text>
    </comment>
    <comment ref="B8" authorId="0" shapeId="0" xr:uid="{C0EE2E14-55C6-435D-B790-5ECB5FC4782D}">
      <text>
        <r>
          <rPr>
            <b/>
            <sz val="18"/>
            <color indexed="81"/>
            <rFont val="Tahoma"/>
            <family val="2"/>
          </rPr>
          <t>XOR: Does a byte to byte XOR of AddRoundKey1 against K_1 note that each byte in K_1 is represented as K_1,0 , …, K_1,15.</t>
        </r>
      </text>
    </comment>
    <comment ref="B21" authorId="0" shapeId="0" xr:uid="{70AA4A1D-0DA0-4F73-8FF2-813941201CDF}">
      <text>
        <r>
          <rPr>
            <b/>
            <sz val="18"/>
            <color indexed="81"/>
            <rFont val="Tahoma"/>
            <family val="2"/>
          </rPr>
          <t>Mix Columns: Does a matrix multiplication between the output from (AddRoundKey1 XOR K_1) and the inverse 4x4 circulant MDS matrix. This process is explained in greater detail in the "Mix Columns" Sheet.</t>
        </r>
      </text>
    </comment>
    <comment ref="B44" authorId="0" shapeId="0" xr:uid="{5C150D76-ED83-4220-B8F3-2F1C3D83DA16}">
      <text>
        <r>
          <rPr>
            <b/>
            <sz val="18"/>
            <color indexed="81"/>
            <rFont val="Tahoma"/>
            <family val="2"/>
          </rPr>
          <t>Shift Rows: Shifts bytes to right for each row by the number of positions indicated to the below.</t>
        </r>
      </text>
    </comment>
    <comment ref="B52" authorId="0" shapeId="0" xr:uid="{A94B1A95-EBDA-40C1-BB41-E713BC603FE8}">
      <text>
        <r>
          <rPr>
            <b/>
            <sz val="18"/>
            <color indexed="81"/>
            <rFont val="Tahoma"/>
            <family val="2"/>
          </rPr>
          <t>InvSubBytes: Substitutes the input of each byte from the InvShiftRows process with byte from the Inverse AES S-BOX from the "AES S-box" sheet.</t>
        </r>
      </text>
    </comment>
    <comment ref="B59" authorId="0" shapeId="0" xr:uid="{E7A44C72-4FF7-49D5-B256-32D2EB453CF8}">
      <text>
        <r>
          <rPr>
            <b/>
            <sz val="20"/>
            <color indexed="81"/>
            <rFont val="Tahoma"/>
            <family val="2"/>
          </rPr>
          <t xml:space="preserve">K_0: Initial key generated during encryption process and is the original key that derives all other round keys from hexadecimal form and is concatenated (see far right) to form the key K_0.  </t>
        </r>
      </text>
    </comment>
    <comment ref="B67" authorId="0" shapeId="0" xr:uid="{3AED3853-FA73-4674-898E-696D6206DAA9}">
      <text>
        <r>
          <rPr>
            <b/>
            <sz val="20"/>
            <color indexed="81"/>
            <rFont val="Tahoma"/>
            <family val="2"/>
          </rPr>
          <t>XOR: Does a byte to byte XOR of Inverse SubBytes output against K_0 note that each byte in K_0 is represented as K_0,0 , ... , K_0,15.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Wells</author>
  </authors>
  <commentList>
    <comment ref="B2" authorId="0" shapeId="0" xr:uid="{405A3938-BD05-4513-81D6-BFC6BCC1DB34}">
      <text>
        <r>
          <rPr>
            <b/>
            <sz val="20"/>
            <color indexed="81"/>
            <rFont val="Tahoma"/>
            <family val="2"/>
          </rPr>
          <t xml:space="preserve">Plain text: Allows up to 16 ANSI characters of plain text to be encrypted. 
</t>
        </r>
      </text>
    </comment>
    <comment ref="B17" authorId="0" shapeId="0" xr:uid="{536BFDBE-2270-4B46-9680-89834099A03A}">
      <text>
        <r>
          <rPr>
            <b/>
            <sz val="20"/>
            <color indexed="81"/>
            <rFont val="Tahoma"/>
            <family val="2"/>
          </rPr>
          <t>XOR: Does a byte to byte XOR of Plain text against K_0. Note that each byte in K_0 is represented as K_0,0 , …, K_0,15.</t>
        </r>
      </text>
    </comment>
    <comment ref="B26" authorId="0" shapeId="0" xr:uid="{C82A40A1-3BDF-475B-90DC-AC5DBAF4FDA2}">
      <text>
        <r>
          <rPr>
            <b/>
            <sz val="20"/>
            <color indexed="81"/>
            <rFont val="Tahoma"/>
            <family val="2"/>
          </rPr>
          <t xml:space="preserve">SubBytes: Substitutes the input of each byte from the XOR process with byte from the AES S-BOX from the "AES S-box" sheet. Where each substtution is represented by S(B_0), … , S(B_15).  </t>
        </r>
        <r>
          <rPr>
            <b/>
            <sz val="9"/>
            <color indexed="81"/>
            <rFont val="Tahoma"/>
            <family val="2"/>
          </rPr>
          <t xml:space="preserve">
</t>
        </r>
      </text>
    </comment>
    <comment ref="B68" authorId="0" shapeId="0" xr:uid="{42229777-54AE-4076-8F0D-156F057C51FC}">
      <text>
        <r>
          <rPr>
            <b/>
            <sz val="20"/>
            <color indexed="81"/>
            <rFont val="Tahoma"/>
            <family val="2"/>
          </rPr>
          <t>Shift Rows: Simply shifts the bytes from each row to left by the number of positions indicated to the below.</t>
        </r>
      </text>
    </comment>
    <comment ref="B76" authorId="0" shapeId="0" xr:uid="{E34874C8-9647-49C0-83EE-534E53626E36}">
      <text>
        <r>
          <rPr>
            <b/>
            <sz val="20"/>
            <color indexed="81"/>
            <rFont val="Tahoma"/>
            <family val="2"/>
          </rPr>
          <t>Mix Columns: Does a matrix multiplication between the output from ShiftRows and the 4x4 circulant MDS matrix. This process is explained in greater detail in the "Mix Columns" Sheet.</t>
        </r>
      </text>
    </comment>
    <comment ref="B149" authorId="0" shapeId="0" xr:uid="{4395900F-C44C-46B0-B330-729984E0ABAF}">
      <text>
        <r>
          <rPr>
            <b/>
            <sz val="20"/>
            <color indexed="81"/>
            <rFont val="Tahoma"/>
            <family val="2"/>
          </rPr>
          <t>AddRoundKey: Is a 4-Step Process consisting of RotWord, SubWord, Rcon and a staggered  XOR from the previous round key. This process is explained in greater detail in the "Key Schedule" Sheet.</t>
        </r>
      </text>
    </comment>
    <comment ref="B203" authorId="0" shapeId="0" xr:uid="{E09738B0-1B9E-4D9C-813B-A23A92993E85}">
      <text>
        <r>
          <rPr>
            <b/>
            <sz val="20"/>
            <color indexed="81"/>
            <rFont val="Tahoma"/>
            <family val="2"/>
          </rPr>
          <t>XOR: Does a byte to byte XOR of MixColumns output against K_1. Note that each byte in K_1 is represented as K_1,0 , ... , K_1,15.</t>
        </r>
      </text>
    </comment>
    <comment ref="B210" authorId="0" shapeId="0" xr:uid="{50D7714A-90B8-4B6B-9800-A79EBEA13AFB}">
      <text>
        <r>
          <rPr>
            <b/>
            <sz val="20"/>
            <color indexed="81"/>
            <rFont val="Tahoma"/>
            <family val="2"/>
          </rPr>
          <t>Labelling round 1 cyphertext Bytes
ARK1(M(S(B_0))), …, ARK1(M(S(B_15))) and represents the first round of encrypted cyphertext.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Wells</author>
  </authors>
  <commentList>
    <comment ref="B2" authorId="0" shapeId="0" xr:uid="{D17FB159-06B6-4204-9379-CA87E6F231DF}">
      <text>
        <r>
          <rPr>
            <b/>
            <sz val="20"/>
            <color indexed="81"/>
            <rFont val="Tahoma"/>
            <family val="2"/>
          </rPr>
          <t xml:space="preserve">Cypher text: is the 16 characters of plain text encrypted and needs to be decrypted. </t>
        </r>
        <r>
          <rPr>
            <b/>
            <sz val="9"/>
            <color indexed="81"/>
            <rFont val="Tahoma"/>
            <family val="2"/>
          </rPr>
          <t xml:space="preserve">
</t>
        </r>
      </text>
    </comment>
    <comment ref="B12" authorId="0" shapeId="0" xr:uid="{FF40200C-8C8E-4480-B9B3-B4B5045F93B6}">
      <text>
        <r>
          <rPr>
            <b/>
            <sz val="20"/>
            <color indexed="81"/>
            <rFont val="Tahoma"/>
            <family val="2"/>
          </rPr>
          <t>XOR: Does a byte to byte XOR of AddRoundKey1 against K_1 note that each byte in K_0 is represented as K_1,0 , …, K_1,15.</t>
        </r>
      </text>
    </comment>
    <comment ref="B25" authorId="0" shapeId="0" xr:uid="{93CADBD5-7BA4-4F0D-AF02-53CBF0972E72}">
      <text>
        <r>
          <rPr>
            <b/>
            <sz val="20"/>
            <color indexed="81"/>
            <rFont val="Tahoma"/>
            <family val="2"/>
          </rPr>
          <t>Mix Columns: Does a matrix multiplication between the output from (AddRoundKey1 XOR K_1) and the inverse 4x4 circulant MDS matrix. This process is explained in greater detail in the "Mix Columns" Sheet.</t>
        </r>
      </text>
    </comment>
    <comment ref="B101" authorId="0" shapeId="0" xr:uid="{883E40A8-9AFA-48D4-965D-35AFC19C41F3}">
      <text>
        <r>
          <rPr>
            <b/>
            <sz val="20"/>
            <color indexed="81"/>
            <rFont val="Tahoma"/>
            <family val="2"/>
          </rPr>
          <t>Shift Rows: Simply shifts the bytes from each row  to right by the number of positions indicated to the below.</t>
        </r>
      </text>
    </comment>
    <comment ref="B109" authorId="0" shapeId="0" xr:uid="{BE4FBE80-9158-44F9-B698-07BCB20C5FF2}">
      <text>
        <r>
          <rPr>
            <b/>
            <sz val="20"/>
            <color indexed="81"/>
            <rFont val="Tahoma"/>
            <family val="2"/>
          </rPr>
          <t>InvSubBytes: Substitutes the input of each byte from the InvShiftRows process with byte from the AES S-BOX from the "AES S-box" sheet. Where each inverse substtution is represented by B_0, … , B_15.</t>
        </r>
      </text>
    </comment>
    <comment ref="B157" authorId="0" shapeId="0" xr:uid="{66E3D2AE-7EB4-4826-AE66-65FF553F2E18}">
      <text>
        <r>
          <rPr>
            <b/>
            <sz val="18"/>
            <color indexed="81"/>
            <rFont val="Tahoma"/>
            <family val="2"/>
          </rPr>
          <t xml:space="preserve">K_1 XOR Rearranged(K_1): using the logic that the first key (K_0) contains W(0), W(1), W(2) and W(3) and using the key scheduling the next key (K_1) is dependent of the previous key see "Key Schedule" sheet.
Since Key scheduling utilizes XOR to recreate the new key we add another XOR operation to regain the previous key such that for 
n = 0, 1, ..., 42, 43 we use,
W_(n-4) = W_(n) ⊕ W_(n-1) 
when n is not a multiple of 4 i.e. n mod 4 ≠ 0. 
Else we use, 
W_(n-4) = W_(n) ⊕ Transformed(W_(n-1))
when n is a multiple of 4 i.e. n mod 4 = 0.
Where the Transformed(W_(n-1)) is calculated by XORing W_(n-1) against current Rcon(i) round as seen in Encryption Calculation sheet
</t>
        </r>
      </text>
    </comment>
    <comment ref="B174" authorId="0" shapeId="0" xr:uid="{D28EB9F5-4696-4AC1-B9F5-CA92CCAFBCBE}">
      <text>
        <r>
          <rPr>
            <b/>
            <sz val="20"/>
            <color indexed="81"/>
            <rFont val="Tahoma"/>
            <family val="2"/>
          </rPr>
          <t>XOR: Does a byte to byte XOR of Inverse SubBytes output against K_0 note that each byte in K_0 is represented as K_0,0 , ... , K_0,15.</t>
        </r>
      </text>
    </comment>
    <comment ref="B177" authorId="0" shapeId="0" xr:uid="{0DEB520D-CF69-474B-AEE1-264BEC9B45FE}">
      <text>
        <r>
          <rPr>
            <b/>
            <sz val="20"/>
            <color indexed="81"/>
            <rFont val="Tahoma"/>
            <family val="2"/>
          </rPr>
          <t>Converts base 10 Bytes into ASCII plain text and represents what happens at the last round of decryption.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Wells</author>
  </authors>
  <commentList>
    <comment ref="C1" authorId="0" shapeId="0" xr:uid="{71FAA335-670D-4DAE-9464-030D6192C22D}">
      <text>
        <r>
          <rPr>
            <b/>
            <sz val="18"/>
            <color indexed="81"/>
            <rFont val="Tahoma"/>
            <family val="2"/>
          </rPr>
          <t>Look up table for substitution during AES encryption all values are calculated for the Affine Transformation below.</t>
        </r>
      </text>
    </comment>
    <comment ref="U1" authorId="0" shapeId="0" xr:uid="{F539B0A5-B71D-486E-8D87-FF872BE944A7}">
      <text>
        <r>
          <rPr>
            <b/>
            <sz val="18"/>
            <color indexed="81"/>
            <rFont val="Tahoma"/>
            <family val="2"/>
          </rPr>
          <t xml:space="preserve">Look up table for substitution during AES Decryption all values are calculated for the Inverse Affine Transformation below. </t>
        </r>
      </text>
    </comment>
    <comment ref="C40" authorId="0" shapeId="0" xr:uid="{30DC456B-1351-4E4E-8CA7-4061BDC07A3F}">
      <text>
        <r>
          <rPr>
            <b/>
            <sz val="18"/>
            <color indexed="81"/>
            <rFont val="Tahoma"/>
            <family val="2"/>
          </rPr>
          <t>The affine transformation calculation ia used to determine the substitution value where [s_7, …, s_0] is the S-box output and [b_7, …, b_0] is the multiplicative inverse Rijndael’s finite field as a vector.</t>
        </r>
      </text>
    </comment>
    <comment ref="U40" authorId="0" shapeId="0" xr:uid="{F3DCF32E-9541-4CB3-9547-D78D2ECE976C}">
      <text>
        <r>
          <rPr>
            <b/>
            <sz val="18"/>
            <color indexed="81"/>
            <rFont val="Tahoma"/>
            <family val="2"/>
          </rPr>
          <t>The Inverse Affine Transformation calculation is used to determine the inverse substitution value where [s_7, …, s_0] is the S-box output to be inversed and [b_7, …, b_0] is the multiplicative inverse Rijndael’s finite field as a vector to be found.</t>
        </r>
      </text>
    </comment>
    <comment ref="C52" authorId="0" shapeId="0" xr:uid="{F1CCD7F1-776F-4B8E-95CE-DA0568CF2F05}">
      <text>
        <r>
          <rPr>
            <b/>
            <sz val="14"/>
            <color indexed="81"/>
            <rFont val="Tahoma"/>
            <family val="2"/>
          </rPr>
          <t xml:space="preserve">Rijndael’s finite field is generated using a specific topic of mathematics called Galois Fields for instance Rijndael’s finite field is the Galois Field,
GF(2^8) = GF(2)[x]/(x^8+ x^4+x^3+x+1).
Understanding Galois Field is not required to operate both S-Boxes as they lookup tables. However, some knowledge would be required to generate the both S-Boxes which is beyond the scope of this visual aide.
What can be taken is x^8+ x^4+x^3+x+1 which in binary is 100011011 and Hex is 11B. Which is AES specific as the modulus reduction value.
</t>
        </r>
        <r>
          <rPr>
            <b/>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Thomas Wells</author>
  </authors>
  <commentList>
    <comment ref="A1" authorId="0" shapeId="0" xr:uid="{C176E6BE-FA8E-4E45-B629-0DAE2330C725}">
      <text>
        <r>
          <rPr>
            <b/>
            <sz val="20"/>
            <color indexed="81"/>
            <rFont val="Tahoma"/>
            <family val="2"/>
          </rPr>
          <t>As we are limited to 8-bits of data for each position output for the matrix multiplication in Mix Columns we must reduce any values higher than 8 bits using XOR and modulo. Referred as a modulus reductions it is important to note that when applying AES's specifically chosen modulus reduction of 11B (base 16), 283 (base 10) or 100011011 (base 2) the leading 1's for both values in base 2 must align before XOR operation can be done. This is similar to shifting 100011011 to the left by adding 0's which is coincidently when working in base 10 is the same as the function 283*(2^n) where n is number of bits to be shifted.</t>
        </r>
      </text>
    </comment>
    <comment ref="A10" authorId="0" shapeId="0" xr:uid="{A8BCC76B-1ACE-4CDF-A23D-55E96467186D}">
      <text>
        <r>
          <rPr>
            <b/>
            <sz val="18"/>
            <color indexed="81"/>
            <rFont val="Tahoma"/>
            <family val="2"/>
          </rPr>
          <t>Mix Columns Can be broken down into 3 main parts:
Matrix Multiplication (See Mix Columns Equation)
Multiplication (See S(B_0) Encryption Extract)
XOR Modulus Reduction (See S(B_0) Encryption Extract)</t>
        </r>
      </text>
    </comment>
    <comment ref="A13" authorId="0" shapeId="0" xr:uid="{B5079669-C390-426F-B378-25BE9527C3E4}">
      <text>
        <r>
          <rPr>
            <b/>
            <sz val="18"/>
            <color indexed="81"/>
            <rFont val="Tahoma"/>
            <family val="2"/>
          </rPr>
          <t>Shown below is a representation of Mix Columns Equation for Excel calculations. Since Mix Columns uses XOR instead of addition for summation in the matrix multiplication it is necessary in Excel to view this operation as saying four, [4x4]⋅[4x1] matrix multiplication where the [4x1] is each column, C_a,b of the matrix to be mixed. 
This creates four [4x1] matrices that when stitched together form one, [4x4] matrix. This [4x4] matrix is taken as Mix Columns output; in the equation the change is denoted as M(...).</t>
        </r>
      </text>
    </comment>
    <comment ref="A25" authorId="0" shapeId="0" xr:uid="{62AA1A9C-815B-466B-BE70-DA486D22B5FC}">
      <text>
        <r>
          <rPr>
            <b/>
            <sz val="18"/>
            <color indexed="81"/>
            <rFont val="Tahoma"/>
            <family val="2"/>
          </rPr>
          <t xml:space="preserve">Shown below is an extract of the Encryption Calculations for S(B_0) which is split into two main parts. 
Multiplication &amp; XOR Modulus Reduction 
Use the green input cells to select denary values from 0 to 255 for better understanding. Any other input will lead to a random number being selected. </t>
        </r>
      </text>
    </comment>
    <comment ref="A33" authorId="0" shapeId="0" xr:uid="{2FA61761-2E62-4FE5-92A6-5747025743A3}">
      <text>
        <r>
          <rPr>
            <b/>
            <sz val="18"/>
            <color indexed="81"/>
            <rFont val="Tahoma"/>
            <family val="2"/>
          </rPr>
          <t xml:space="preserve">As stated in Mix Columns Equation matrix multiplication is summated using XOR because of this calculations for each position must be done manually for both educational purposes and limitations of Excel. In this example M(S(B_0)) is calculated such that after XOR Modulus Reduction  
M(S(B_0)) = (C_0,0 x 2)⊕(C_0,1 x 3)⊕(C_0,2 x 1)⊕(C_0,3 x 1).
Where each term is multiplied in base 2 and the summation is XOR-ed for example,
C_0,1 = 202 (base 10) = 11001010 (base 2)
3 (base 10) = 11 (base 2)
C_0,1 x 3 = (11001010 x 1) ⊕ (11001010 x 10) =11001010 ⊕ 110010100=101011110.
</t>
        </r>
      </text>
    </comment>
    <comment ref="A35" authorId="0" shapeId="0" xr:uid="{D0C05072-ED91-4775-8603-7BCF8FD380C5}">
      <text>
        <r>
          <rPr>
            <b/>
            <sz val="18"/>
            <color indexed="81"/>
            <rFont val="Tahoma"/>
            <family val="2"/>
          </rPr>
          <t xml:space="preserve">The last part of Mix Columns is the implementation of the reducing value 11B (base 16). As mentioned in Multiplication
M(S(B_0)) = (C_0,0 x 2)⊕(C_0,1 x 3)⊕(C_0,2 x 1)⊕(C_0,3 x 1),
this is true so long as each term is no longer than 8 bits thus we must check and reduce each term equal to 8 bit length. Which is done by Ring terms with 11B or 100011011 (base 2) shifted n bits to the left. Where n is the difference in bit length between the term in base 2 and 100011011, this can also be referred as matching the leading 1's bits.
</t>
        </r>
      </text>
    </comment>
    <comment ref="A44" authorId="0" shapeId="0" xr:uid="{8105C854-618B-4619-B81C-37C9B2D94B61}">
      <text>
        <r>
          <rPr>
            <b/>
            <sz val="18"/>
            <color indexed="81"/>
            <rFont val="Tahoma"/>
            <family val="2"/>
          </rPr>
          <t>Mix Columns Can be broken down into 3 main parts:
Matrix Multiplication (See Inverse Mix Columns Equation)
Multiplication (See S(B_0) Decryption Extract)
XOR Modulus Reduction (See S(B_0) Decryption Extract)</t>
        </r>
      </text>
    </comment>
    <comment ref="A47" authorId="0" shapeId="0" xr:uid="{1447EF3B-178A-4150-8DAC-32C088F0A81C}">
      <text>
        <r>
          <rPr>
            <b/>
            <sz val="18"/>
            <color indexed="81"/>
            <rFont val="Tahoma"/>
            <family val="2"/>
          </rPr>
          <t>Shown below is a representation of Mix Columns Equation for Excel calculations. Since Mix Columns uses XOR instead of addition for summation in the matrix multiplication it is necessary in Excel to view this operation as saying four, [4x4]⋅[4x1] matrix multiplication where the [4x1] is each column, C_a,b of the matrix to be mixed. 
This creates four [4x1] matrices that when stitched together form one, [4x4] matrix. This [4x4] matrix is taken as Mix Columns output; in the equation the change is denoted as M(...).</t>
        </r>
      </text>
    </comment>
    <comment ref="A59" authorId="0" shapeId="0" xr:uid="{02DBA445-557B-452E-8610-B75BA1F5DE2D}">
      <text>
        <r>
          <rPr>
            <b/>
            <sz val="20"/>
            <color indexed="81"/>
            <rFont val="Tahoma"/>
            <family val="2"/>
          </rPr>
          <t xml:space="preserve">Shown below is an extract of the Decryption Calculations for M(S(B_0)) which is split into two main parts. 
Multiplication &amp; XOR Modulus Reduction 
Use the green input cells to select denary values from 0 to 255 for better understanding. Any other input will lead to a random number being selected. </t>
        </r>
      </text>
    </comment>
    <comment ref="A66" authorId="0" shapeId="0" xr:uid="{BBD1DA63-5DE4-4EED-B3A8-845C86205AB9}">
      <text>
        <r>
          <rPr>
            <b/>
            <sz val="20"/>
            <color indexed="81"/>
            <rFont val="Tahoma"/>
            <family val="2"/>
          </rPr>
          <t>As stated in Mix Columns Equation matrix multiplication is summated using XOR because of this calculations for each position must be done manually for both educational purposes and limitations of Excel. In this example M(S(B_0)) is calculated such that after XOR Modulus Reduction
M(S(B_0)) = (C_0,0 x 14)⊕(C_0,1 x 11)⊕(C_0,2 x 13)⊕(C_0,3 x 9).
Where each term is multiplied in base 2 and the summation is XOR-ed for example,
C_0,1 = 202 (base 10) = 11001010 (base 2)
13 (base 10) = 1101 (base 2)
C_0,1 x 13 = (11001010 x 1) ⊕ (11001010 x 100) ⊕ (11001010 x 1000) =11001010 ⊕ 110010100 ⊕ 11001010000 = 10110110010.</t>
        </r>
      </text>
    </comment>
    <comment ref="A68" authorId="0" shapeId="0" xr:uid="{3E9DBECD-DCB8-4F3C-8DD4-F273A4BA0968}">
      <text>
        <r>
          <rPr>
            <b/>
            <sz val="20"/>
            <color indexed="81"/>
            <rFont val="Tahoma"/>
            <family val="2"/>
          </rPr>
          <t xml:space="preserve">The last part of Mix Columns is the implementation of the reducing value 11B (base 16). As mentioned in Multiplication
M(S(B_0)) = (C_0,0 x 14)⊕(C_0,1 x 11)⊕(C_0,2 x 13)⊕(C_0,3 x 9),
this is true so long as each term is no longer than 8 bits thus we must check and reduce each term equal to 8 bit length. Which is done by XORing terms with 11B or 100011011 (base 2) shifted n bits to the left. Where n is the difference in bit length between the term in base 2 and 100011011, this can also be referred as matching the leading 1's bits.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Thomas Wells</author>
  </authors>
  <commentList>
    <comment ref="E2" authorId="0" shapeId="0" xr:uid="{66291427-A39A-4E5B-8DDB-F0D368701A34}">
      <text>
        <r>
          <rPr>
            <b/>
            <sz val="20"/>
            <color indexed="81"/>
            <rFont val="Tahoma"/>
            <family val="2"/>
          </rPr>
          <t>Key Schedule: Is the application of a key expansion where the original key is used derive the required round keys. For 128-bit AES there are a total of 11 keys including the original generated key. Therefore, the original key gets expanded 10 times following the key schedule as seen in Figure 1.
This mean all keys are derived from the original and any key can be used to derive all other keys so long as the round the key is from is known (an example of this shown in Decryption Calculations).
As all keys are expanded from the original key it is possible to expand and store all keys for each round encryption. However, as we are applying one round of AES it has been decided to expand the key at the AddRoundKey section in AES round to maintain a certain logic chain.</t>
        </r>
        <r>
          <rPr>
            <b/>
            <sz val="22"/>
            <color indexed="81"/>
            <rFont val="Tahoma"/>
            <family val="2"/>
          </rPr>
          <t xml:space="preserve">
</t>
        </r>
      </text>
    </comment>
    <comment ref="Q2" authorId="0" shapeId="0" xr:uid="{B5C763E2-9666-4C20-AE76-BB5A130EC07A}">
      <text>
        <r>
          <rPr>
            <b/>
            <sz val="20"/>
            <color indexed="81"/>
            <rFont val="Tahoma"/>
            <family val="2"/>
          </rPr>
          <t>Look up table for substitution during AES encryption</t>
        </r>
      </text>
    </comment>
    <comment ref="A51" authorId="0" shapeId="0" xr:uid="{48D94FDD-E775-498B-BDBF-33F2D5B04501}">
      <text>
        <r>
          <rPr>
            <b/>
            <sz val="20"/>
            <color indexed="81"/>
            <rFont val="Tahoma"/>
            <family val="2"/>
          </rPr>
          <t>For 128-bit key AES encryption the value used for Rcon at each round of AES is determined by 2^i where i is the current round (Start at 0). However, if the value were to use more than 8 bits to store then it must be reduced using the modulus reduction value 11B (base 16). See XOR Reductions Summary to understand how this is done.</t>
        </r>
      </text>
    </comment>
    <comment ref="A56" authorId="0" shapeId="0" xr:uid="{740D6F72-8EB2-4ADC-9F7E-225F5E6058D9}">
      <text>
        <r>
          <rPr>
            <b/>
            <sz val="20"/>
            <color theme="1"/>
            <rFont val="Tahoma"/>
            <family val="2"/>
          </rPr>
          <t>For each round in AES we detrmine the value we are using for Rcon withthe value determined check and reduction each term to less than or equal to 8 bit length. Which is done by XORing terms with 11B or 100011011 (base 2) shifted n bits to the left. Where n is the difference in bit length between the term in base 2 and 100011011, this can also be referred as matching the leading 1's bits. See Determing the reduction values for simple trick in Excel for calculating these reduction values.</t>
        </r>
      </text>
    </comment>
    <comment ref="A79" authorId="0" shapeId="0" xr:uid="{1E61BD95-6269-432A-B544-14934F31B54B}">
      <text>
        <r>
          <rPr>
            <b/>
            <sz val="20"/>
            <color indexed="81"/>
            <rFont val="Tahoma"/>
            <family val="2"/>
          </rPr>
          <t>Since 128-bit key is split into 16 bytes then any Rcon values must reduce to 8 bits using XOR and modulo referred as a modulus reductions is important to note that when applying AES's specifically chosen modulus reduction of 11B (base 16), 283 (base 10) or 100011011 (base 2) the leading 1's for both values in base 2 must align before XOR operation can be done. This is similar to shifting 100011011 to the left by adding 0's which is coincidently when working in base 10 is the same as the function 283*(2^n) where n is number of bits to be shifted.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<sst xmlns="http://schemas.openxmlformats.org/spreadsheetml/2006/main" count="2117" uniqueCount="499">
  <si>
    <t>K_0</t>
  </si>
  <si>
    <t>Key (128-bit)</t>
  </si>
  <si>
    <t>AES-Key Schedule 128-bit key</t>
  </si>
  <si>
    <t>"Hello World!!!"</t>
  </si>
  <si>
    <t>Plain text:</t>
  </si>
  <si>
    <t>Text</t>
  </si>
  <si>
    <t>Text Position</t>
  </si>
  <si>
    <t>128-bit Concatenated ASCII Plain Text</t>
  </si>
  <si>
    <t>=</t>
  </si>
  <si>
    <t>B_0</t>
  </si>
  <si>
    <t>B_1</t>
  </si>
  <si>
    <t>B_2</t>
  </si>
  <si>
    <t>B_3</t>
  </si>
  <si>
    <t>B_5</t>
  </si>
  <si>
    <t>B_6</t>
  </si>
  <si>
    <t>B_7</t>
  </si>
  <si>
    <t>B_8</t>
  </si>
  <si>
    <t>B_9</t>
  </si>
  <si>
    <t>B_13</t>
  </si>
  <si>
    <t>B_10</t>
  </si>
  <si>
    <t>B_11</t>
  </si>
  <si>
    <t>B_12</t>
  </si>
  <si>
    <t>B_14</t>
  </si>
  <si>
    <t>B_15</t>
  </si>
  <si>
    <t>B_4</t>
  </si>
  <si>
    <t>x</t>
  </si>
  <si>
    <t>S(B_0)</t>
  </si>
  <si>
    <t>S(B_1)</t>
  </si>
  <si>
    <t>S(B_2)</t>
  </si>
  <si>
    <t>S(B_3)</t>
  </si>
  <si>
    <t>S(B_4)</t>
  </si>
  <si>
    <t>S(B_5)</t>
  </si>
  <si>
    <t>S(B_6)</t>
  </si>
  <si>
    <t>S(B_7)</t>
  </si>
  <si>
    <t>S(B_8)</t>
  </si>
  <si>
    <t>S(B_9)</t>
  </si>
  <si>
    <t>S(B_10)</t>
  </si>
  <si>
    <t>S(B_11)</t>
  </si>
  <si>
    <t>S(B_12)</t>
  </si>
  <si>
    <t>S(B_13)</t>
  </si>
  <si>
    <t>S(B_14)</t>
  </si>
  <si>
    <t>S(B_15)</t>
  </si>
  <si>
    <t>128-bit Key (Concatenated)</t>
  </si>
  <si>
    <t>Shift Rows</t>
  </si>
  <si>
    <t>0 Shift to the left</t>
  </si>
  <si>
    <t>1 Shift to the left</t>
  </si>
  <si>
    <t>2 Shift to the left</t>
  </si>
  <si>
    <t>3 Shift to the left</t>
  </si>
  <si>
    <t>Mix Columns</t>
  </si>
  <si>
    <t>a</t>
  </si>
  <si>
    <t>b</t>
  </si>
  <si>
    <t>C_a,b</t>
  </si>
  <si>
    <t>C_0,0</t>
  </si>
  <si>
    <t>C_1,0</t>
  </si>
  <si>
    <t>C_2,0</t>
  </si>
  <si>
    <t>C_3,0</t>
  </si>
  <si>
    <t>M(S(B_0))</t>
  </si>
  <si>
    <t>M(S(B_5))</t>
  </si>
  <si>
    <t>M(S(B_10))</t>
  </si>
  <si>
    <t>M(S(B_15))</t>
  </si>
  <si>
    <t>M(S(B_4))</t>
  </si>
  <si>
    <t>M(S(B_9))</t>
  </si>
  <si>
    <t>M(S(B_14))</t>
  </si>
  <si>
    <t>M(S(B_3))</t>
  </si>
  <si>
    <t>M(S(B_8))</t>
  </si>
  <si>
    <t>M(S(B_13))</t>
  </si>
  <si>
    <t>M(S(B_2))</t>
  </si>
  <si>
    <t>M(S(B_7))</t>
  </si>
  <si>
    <t>M(S(B_12))</t>
  </si>
  <si>
    <t>M(S(B_1))</t>
  </si>
  <si>
    <t>M(S(B_6))</t>
  </si>
  <si>
    <t>M(S(B_11))</t>
  </si>
  <si>
    <t>XOR</t>
  </si>
  <si>
    <t>K_1</t>
  </si>
  <si>
    <t>Rotate Word</t>
  </si>
  <si>
    <t>Shift W_4 bytes 1 to the left</t>
  </si>
  <si>
    <t>W_4,0</t>
  </si>
  <si>
    <t>W_4,1</t>
  </si>
  <si>
    <t>W_4,2</t>
  </si>
  <si>
    <t>W_4,3</t>
  </si>
  <si>
    <t>00</t>
  </si>
  <si>
    <t>01</t>
  </si>
  <si>
    <t>02</t>
  </si>
  <si>
    <t>03</t>
  </si>
  <si>
    <t>04</t>
  </si>
  <si>
    <t>05</t>
  </si>
  <si>
    <t>06</t>
  </si>
  <si>
    <t>07</t>
  </si>
  <si>
    <t>08</t>
  </si>
  <si>
    <t>09</t>
  </si>
  <si>
    <t>Hex</t>
  </si>
  <si>
    <t>0a</t>
  </si>
  <si>
    <t>0b</t>
  </si>
  <si>
    <t>0c</t>
  </si>
  <si>
    <t>0d</t>
  </si>
  <si>
    <t>0e</t>
  </si>
  <si>
    <t>0f</t>
  </si>
  <si>
    <t>7c</t>
  </si>
  <si>
    <t>7b</t>
  </si>
  <si>
    <t>f2</t>
  </si>
  <si>
    <t>6b</t>
  </si>
  <si>
    <t>6f</t>
  </si>
  <si>
    <t>c5</t>
  </si>
  <si>
    <t>2b</t>
  </si>
  <si>
    <t>fe</t>
  </si>
  <si>
    <t>d7</t>
  </si>
  <si>
    <t>ab</t>
  </si>
  <si>
    <t>ca</t>
  </si>
  <si>
    <t>c9</t>
  </si>
  <si>
    <t>7d</t>
  </si>
  <si>
    <t>fa</t>
  </si>
  <si>
    <t>f0</t>
  </si>
  <si>
    <t>ad</t>
  </si>
  <si>
    <t>d4</t>
  </si>
  <si>
    <t>a2</t>
  </si>
  <si>
    <t>af</t>
  </si>
  <si>
    <t>9c</t>
  </si>
  <si>
    <t>a4</t>
  </si>
  <si>
    <t>c0</t>
  </si>
  <si>
    <t>b7</t>
  </si>
  <si>
    <t>fd</t>
  </si>
  <si>
    <t>3f</t>
  </si>
  <si>
    <t>f7</t>
  </si>
  <si>
    <t>cc</t>
  </si>
  <si>
    <t>a5</t>
  </si>
  <si>
    <t>e5</t>
  </si>
  <si>
    <t>f1</t>
  </si>
  <si>
    <t>d8</t>
  </si>
  <si>
    <t>c7</t>
  </si>
  <si>
    <t>c3</t>
  </si>
  <si>
    <t>9a</t>
  </si>
  <si>
    <t>e2</t>
  </si>
  <si>
    <t>eb</t>
  </si>
  <si>
    <t>b2</t>
  </si>
  <si>
    <t>2c</t>
  </si>
  <si>
    <t>1a</t>
  </si>
  <si>
    <t>1b</t>
  </si>
  <si>
    <t>6e</t>
  </si>
  <si>
    <t>5a</t>
  </si>
  <si>
    <t>a0</t>
  </si>
  <si>
    <t>3b</t>
  </si>
  <si>
    <t>d6</t>
  </si>
  <si>
    <t>b3</t>
  </si>
  <si>
    <t>e3</t>
  </si>
  <si>
    <t>2f</t>
  </si>
  <si>
    <t>d1</t>
  </si>
  <si>
    <t>ed</t>
  </si>
  <si>
    <t>fc</t>
  </si>
  <si>
    <t>b1</t>
  </si>
  <si>
    <t>5b</t>
  </si>
  <si>
    <t>6a</t>
  </si>
  <si>
    <t>cb</t>
  </si>
  <si>
    <t>be</t>
  </si>
  <si>
    <t>4a</t>
  </si>
  <si>
    <t>4c</t>
  </si>
  <si>
    <t>cf</t>
  </si>
  <si>
    <t>d0</t>
  </si>
  <si>
    <t>ef</t>
  </si>
  <si>
    <t>aa</t>
  </si>
  <si>
    <t>fb</t>
  </si>
  <si>
    <t>4d</t>
  </si>
  <si>
    <t>f9</t>
  </si>
  <si>
    <t>7f</t>
  </si>
  <si>
    <t>3c</t>
  </si>
  <si>
    <t>9f</t>
  </si>
  <si>
    <t>a8</t>
  </si>
  <si>
    <t>a3</t>
  </si>
  <si>
    <t>8f</t>
  </si>
  <si>
    <t>9d</t>
  </si>
  <si>
    <t>f5</t>
  </si>
  <si>
    <t>bc</t>
  </si>
  <si>
    <t>b6</t>
  </si>
  <si>
    <t>da</t>
  </si>
  <si>
    <t>ff</t>
  </si>
  <si>
    <t>f3</t>
  </si>
  <si>
    <t>d2</t>
  </si>
  <si>
    <t>cd</t>
  </si>
  <si>
    <t>ec</t>
  </si>
  <si>
    <t>5f</t>
  </si>
  <si>
    <t>c4</t>
  </si>
  <si>
    <t>a7</t>
  </si>
  <si>
    <t>7e</t>
  </si>
  <si>
    <t>3d</t>
  </si>
  <si>
    <t>5d</t>
  </si>
  <si>
    <t>4f</t>
  </si>
  <si>
    <t>dc</t>
  </si>
  <si>
    <t>2a</t>
  </si>
  <si>
    <t>ee</t>
  </si>
  <si>
    <t>b8</t>
  </si>
  <si>
    <t>de</t>
  </si>
  <si>
    <t>5e</t>
  </si>
  <si>
    <t>db</t>
  </si>
  <si>
    <t>e0</t>
  </si>
  <si>
    <t>3a</t>
  </si>
  <si>
    <t>5c</t>
  </si>
  <si>
    <t>c2</t>
  </si>
  <si>
    <t>d3</t>
  </si>
  <si>
    <t>ac</t>
  </si>
  <si>
    <t>e4</t>
  </si>
  <si>
    <t>b0</t>
  </si>
  <si>
    <t>e7</t>
  </si>
  <si>
    <t>c8</t>
  </si>
  <si>
    <t>6d</t>
  </si>
  <si>
    <t>8d</t>
  </si>
  <si>
    <t>d5</t>
  </si>
  <si>
    <t>4e</t>
  </si>
  <si>
    <t>a9</t>
  </si>
  <si>
    <t>6c</t>
  </si>
  <si>
    <t>f4</t>
  </si>
  <si>
    <t>ea</t>
  </si>
  <si>
    <t>7a</t>
  </si>
  <si>
    <t>ae</t>
  </si>
  <si>
    <t>ba</t>
  </si>
  <si>
    <t>2e</t>
  </si>
  <si>
    <t>1c</t>
  </si>
  <si>
    <t>a6</t>
  </si>
  <si>
    <t>b4</t>
  </si>
  <si>
    <t>c6</t>
  </si>
  <si>
    <t>e8</t>
  </si>
  <si>
    <t>dd</t>
  </si>
  <si>
    <t>1f</t>
  </si>
  <si>
    <t>4b</t>
  </si>
  <si>
    <t>bd</t>
  </si>
  <si>
    <t>8b</t>
  </si>
  <si>
    <t>8a</t>
  </si>
  <si>
    <t>3e</t>
  </si>
  <si>
    <t>b5</t>
  </si>
  <si>
    <t>f6</t>
  </si>
  <si>
    <t>b9</t>
  </si>
  <si>
    <t>c1</t>
  </si>
  <si>
    <t>1d</t>
  </si>
  <si>
    <t>9e</t>
  </si>
  <si>
    <t>e1</t>
  </si>
  <si>
    <t>f8</t>
  </si>
  <si>
    <t>d9</t>
  </si>
  <si>
    <t>8e</t>
  </si>
  <si>
    <t>9b</t>
  </si>
  <si>
    <t>1e</t>
  </si>
  <si>
    <t>e9</t>
  </si>
  <si>
    <t>ce</t>
  </si>
  <si>
    <t>df</t>
  </si>
  <si>
    <t>8c</t>
  </si>
  <si>
    <t>a1</t>
  </si>
  <si>
    <t>bf</t>
  </si>
  <si>
    <t>e6</t>
  </si>
  <si>
    <t>2d</t>
  </si>
  <si>
    <t>bb</t>
  </si>
  <si>
    <t>W_1,0</t>
  </si>
  <si>
    <t>W_1,1</t>
  </si>
  <si>
    <t>W_1,2</t>
  </si>
  <si>
    <t>W_1,3</t>
  </si>
  <si>
    <t>Substitute Bytes from AES S-box</t>
  </si>
  <si>
    <t>AES S-BOX (Base 10)</t>
  </si>
  <si>
    <t>AES S-BOX (Base 16)</t>
  </si>
  <si>
    <t xml:space="preserve">= </t>
  </si>
  <si>
    <t>Decimal</t>
  </si>
  <si>
    <t>Base 2</t>
  </si>
  <si>
    <t>Base 10</t>
  </si>
  <si>
    <t>Base 16</t>
  </si>
  <si>
    <t>Multiplication</t>
  </si>
  <si>
    <t>RCON</t>
  </si>
  <si>
    <t>Rot(W_4)(Hex)</t>
  </si>
  <si>
    <t>Rot(W_4)(Binary )</t>
  </si>
  <si>
    <t>RCON[i]</t>
  </si>
  <si>
    <t>i</t>
  </si>
  <si>
    <t>[00]</t>
  </si>
  <si>
    <t>[01]</t>
  </si>
  <si>
    <t>[02]</t>
  </si>
  <si>
    <t>[04]</t>
  </si>
  <si>
    <t>[08]</t>
  </si>
  <si>
    <t>[10]</t>
  </si>
  <si>
    <t>[20]</t>
  </si>
  <si>
    <t>[40]</t>
  </si>
  <si>
    <t>[80]</t>
  </si>
  <si>
    <t>[1B]</t>
  </si>
  <si>
    <t>[36]</t>
  </si>
  <si>
    <t>Where i represent the number of rounds</t>
  </si>
  <si>
    <t>RCON table for each round (Hex)</t>
  </si>
  <si>
    <t>Rot(W_4,1)</t>
  </si>
  <si>
    <t>Rot(W_4,2)</t>
  </si>
  <si>
    <t>Rot(W_4,3)</t>
  </si>
  <si>
    <t>Rot(W_4,0)</t>
  </si>
  <si>
    <t>Binary</t>
  </si>
  <si>
    <t>S(Rot(W_4,1))</t>
  </si>
  <si>
    <t>S(Rot(W_4,2))</t>
  </si>
  <si>
    <t>S(Rot(W_4,3))</t>
  </si>
  <si>
    <t>S(Rot(W_4,0))</t>
  </si>
  <si>
    <t>S(Rot(W_4)) (denary)</t>
  </si>
  <si>
    <t>S(Rot(W_4))(Binary )</t>
  </si>
  <si>
    <t>S(Rot(W_4))(Hex)</t>
  </si>
  <si>
    <t>RCON[1,0]</t>
  </si>
  <si>
    <t>RCON[1,1]</t>
  </si>
  <si>
    <t>RCON[1,2]</t>
  </si>
  <si>
    <t>RCON[1,3]</t>
  </si>
  <si>
    <t>Add Round Key</t>
  </si>
  <si>
    <t>Round 1</t>
  </si>
  <si>
    <t>Round 1 Encryption Result</t>
  </si>
  <si>
    <t xml:space="preserve">Modulus Reduction </t>
  </si>
  <si>
    <t>Bit Length</t>
  </si>
  <si>
    <t>C_0,1</t>
  </si>
  <si>
    <t>C_1,1</t>
  </si>
  <si>
    <t>C_0,2</t>
  </si>
  <si>
    <t>C_0,3</t>
  </si>
  <si>
    <t>C_2,1</t>
  </si>
  <si>
    <t>C_1,2</t>
  </si>
  <si>
    <t>C_3,1</t>
  </si>
  <si>
    <t>C_2,2</t>
  </si>
  <si>
    <t>C_3,2</t>
  </si>
  <si>
    <t>C_1,3</t>
  </si>
  <si>
    <t>C_2,3</t>
  </si>
  <si>
    <t>C_3,3</t>
  </si>
  <si>
    <t xml:space="preserve">XOR Modulus Reduction </t>
  </si>
  <si>
    <t>X (times)</t>
  </si>
  <si>
    <t>0 Shift to the right</t>
  </si>
  <si>
    <t>1 Shift to the right</t>
  </si>
  <si>
    <t>2 Shift to the right</t>
  </si>
  <si>
    <t>3 Shift to the right</t>
  </si>
  <si>
    <t>Inverse Mix Columns</t>
  </si>
  <si>
    <t>Inverse Shift Rows</t>
  </si>
  <si>
    <t>Substitute Bytes from Inverse AES S-box</t>
  </si>
  <si>
    <t>Decrypted Plain Text:</t>
  </si>
  <si>
    <t>MixColumns XOR K_1</t>
  </si>
  <si>
    <t>MixColumns</t>
  </si>
  <si>
    <t>ARK1(M(S(B_0)))</t>
  </si>
  <si>
    <t>ARK1(M(S(B_5)))</t>
  </si>
  <si>
    <t>ARK1(M(S(B_10)))</t>
  </si>
  <si>
    <t>ARK1(M(S(B_15)))</t>
  </si>
  <si>
    <t>ARK1(M(S(B_4)))</t>
  </si>
  <si>
    <t>ARK1(M(S(B_9)))</t>
  </si>
  <si>
    <t>ARK1(M(S(B_14)))</t>
  </si>
  <si>
    <t>ARK1(M(S(B_3)))</t>
  </si>
  <si>
    <t>ARK1(M(S(B_8)))</t>
  </si>
  <si>
    <t>ARK1(M(S(B_13)))</t>
  </si>
  <si>
    <t>ARK1(M(S(B_2)))</t>
  </si>
  <si>
    <t>ARK1(M(S(B_7)))</t>
  </si>
  <si>
    <t>ARK1(M(S(B_12)))</t>
  </si>
  <si>
    <t>ARK1(M(S(B_1)))</t>
  </si>
  <si>
    <t>ARK1(M(S(B_6)))</t>
  </si>
  <si>
    <t>ARK1(M(S(B_11)))</t>
  </si>
  <si>
    <t>Cypher Text After 1 Round of AES Encrytion</t>
  </si>
  <si>
    <t>Encrypted Plain Text:</t>
  </si>
  <si>
    <t>AddRoundKey1 XOR K_1</t>
  </si>
  <si>
    <t>K_1 XOR Mix Columns</t>
  </si>
  <si>
    <t xml:space="preserve">Binary </t>
  </si>
  <si>
    <t>Denary</t>
  </si>
  <si>
    <t>Rcon</t>
  </si>
  <si>
    <t>Key Input (opitonal):</t>
  </si>
  <si>
    <t>Denary Only (0-255)</t>
  </si>
  <si>
    <t>Round 1 Encrypted Plain Text:</t>
  </si>
  <si>
    <t>Round 1 AES Encrytion</t>
  </si>
  <si>
    <t>⊕</t>
  </si>
  <si>
    <t>Excel Contents Sheets</t>
  </si>
  <si>
    <t>K_1,0</t>
  </si>
  <si>
    <t>K_1,1</t>
  </si>
  <si>
    <t>K_1,2</t>
  </si>
  <si>
    <t>K_1,3</t>
  </si>
  <si>
    <t>K_1,4</t>
  </si>
  <si>
    <t>K_1,5</t>
  </si>
  <si>
    <t>K_1,6</t>
  </si>
  <si>
    <t>K_1,7</t>
  </si>
  <si>
    <t>K_1,8</t>
  </si>
  <si>
    <t>K_1,9</t>
  </si>
  <si>
    <t>K_1,10</t>
  </si>
  <si>
    <t>K_1,11</t>
  </si>
  <si>
    <t>K_1,12</t>
  </si>
  <si>
    <t>K_1,13</t>
  </si>
  <si>
    <t>K_1,14</t>
  </si>
  <si>
    <t>K_1,15</t>
  </si>
  <si>
    <t>K_0,0</t>
  </si>
  <si>
    <t>K_0,1</t>
  </si>
  <si>
    <t>K_0,2</t>
  </si>
  <si>
    <t>K_0,3</t>
  </si>
  <si>
    <t>K_0,4</t>
  </si>
  <si>
    <t>K_0,5</t>
  </si>
  <si>
    <t>K_0,6</t>
  </si>
  <si>
    <t>K_0,7</t>
  </si>
  <si>
    <t>K_0,8</t>
  </si>
  <si>
    <t>K_0,9</t>
  </si>
  <si>
    <t>K_0,10</t>
  </si>
  <si>
    <t>K_0,11</t>
  </si>
  <si>
    <t>K_0,12</t>
  </si>
  <si>
    <t>K_0,13</t>
  </si>
  <si>
    <t>K_0,14</t>
  </si>
  <si>
    <t>K_0,15</t>
  </si>
  <si>
    <t>Round 1 Decrypted Plain Text:</t>
  </si>
  <si>
    <t>Cypher text:</t>
  </si>
  <si>
    <t xml:space="preserve">AES S-box: Shows both the Rijndael or Advanced encryption Standard (AES) Substitution box (lookup table) and the Inverse Substitution box  </t>
  </si>
  <si>
    <t>Decryption Calculations: Shows the in-depth calculations of each process during the last round of decryption; XOR, Inverse Mix columns, Inverse Shift Rows, Inverse Substitute Byte, XOR</t>
  </si>
  <si>
    <t xml:space="preserve">Encryption: Shows the simplified end result of the encryption process of the first round of AES and it is the only sheet which allows for user interactivity.    </t>
  </si>
  <si>
    <t>Decryption: Shows the simplified end result of the decryption process Of the last round of AES as the cypher of which is found from first round of encryption</t>
  </si>
  <si>
    <t>Encryption Calculations: Shows the in-depth calculations of each process during the first round of encryption; XOR, Substitute Byte, Shift Rows, Mix columns, Add Round Key</t>
  </si>
  <si>
    <t>Key Schedule: Shows the Flowchart of the Add Round Key Process for each round explaining the key components; RotWord, SubWord, Rcon</t>
  </si>
  <si>
    <t>What to look out for</t>
  </si>
  <si>
    <t>Hover mouse over me</t>
  </si>
  <si>
    <t>ARK1(M(S(B_n))) XOR K_1</t>
  </si>
  <si>
    <t>Understanding RCON</t>
  </si>
  <si>
    <t>1st XOR reduction</t>
  </si>
  <si>
    <t>2nd XOR reduction</t>
  </si>
  <si>
    <t>3rd XOR reduction</t>
  </si>
  <si>
    <t>4th XOR reduction</t>
  </si>
  <si>
    <t xml:space="preserve">Determing the reduction values </t>
  </si>
  <si>
    <t>Round</t>
  </si>
  <si>
    <t>Shift bits to the left</t>
  </si>
  <si>
    <t>Mix Columns Equation</t>
  </si>
  <si>
    <t>Encryption Mix Columns Reduction</t>
  </si>
  <si>
    <t>S(B_0) Encryption Extract</t>
  </si>
  <si>
    <t>Decryption Mix Columns Reduction</t>
  </si>
  <si>
    <t>M(S(B_0)) Decryption Extract</t>
  </si>
  <si>
    <t>Inverse Mix Columns Equation</t>
  </si>
  <si>
    <t>XOR Reductions Summary</t>
  </si>
  <si>
    <t>W_1,0,1</t>
  </si>
  <si>
    <t>W_1,0,2</t>
  </si>
  <si>
    <t>W_1,0,3</t>
  </si>
  <si>
    <t>W_1,0,0</t>
  </si>
  <si>
    <t>W_1,2,0</t>
  </si>
  <si>
    <t>W_1,2,1</t>
  </si>
  <si>
    <t>W_1,2,2</t>
  </si>
  <si>
    <t>W_1,2,3</t>
  </si>
  <si>
    <t>W_1,1,0</t>
  </si>
  <si>
    <t>W_1,1,1</t>
  </si>
  <si>
    <t>W_1,1,2</t>
  </si>
  <si>
    <t>W_1,1,3</t>
  </si>
  <si>
    <t>W_1,3,0</t>
  </si>
  <si>
    <t>W_1,3,1</t>
  </si>
  <si>
    <t>W_1,3,2</t>
  </si>
  <si>
    <t>W_1,3,3</t>
  </si>
  <si>
    <t>W_0,0</t>
  </si>
  <si>
    <t>W_0,1</t>
  </si>
  <si>
    <t>W_0,2</t>
  </si>
  <si>
    <t>W_0,3</t>
  </si>
  <si>
    <t>W_0,3,2</t>
  </si>
  <si>
    <t>K_0 XOR Inverse SubBytes</t>
  </si>
  <si>
    <t>AddRoundKey</t>
  </si>
  <si>
    <t>Cypher Text</t>
  </si>
  <si>
    <t>Inverse SubBytes XOR K_0</t>
  </si>
  <si>
    <t>Cyphertext After Round 1 of AES Encrytion</t>
  </si>
  <si>
    <t xml:space="preserve">AES S-BOX </t>
  </si>
  <si>
    <t xml:space="preserve">Inverse AES S-BOX </t>
  </si>
  <si>
    <t>Inverse AES S-BOX (Base 16)</t>
  </si>
  <si>
    <t>Inverse AES S-BOX (Base 10)</t>
  </si>
  <si>
    <t xml:space="preserve">Plain text After Round 10 of AES Decryption </t>
  </si>
  <si>
    <t>W_0</t>
  </si>
  <si>
    <t>W_1</t>
  </si>
  <si>
    <t>W_2</t>
  </si>
  <si>
    <t>W_3</t>
  </si>
  <si>
    <t>W_2,0</t>
  </si>
  <si>
    <t>W_2,1</t>
  </si>
  <si>
    <t>W_2,2</t>
  </si>
  <si>
    <t>W_2,3</t>
  </si>
  <si>
    <t>W_3,0</t>
  </si>
  <si>
    <t>W_3,1</t>
  </si>
  <si>
    <t>W_3,3</t>
  </si>
  <si>
    <t>W_4</t>
  </si>
  <si>
    <t>W_5</t>
  </si>
  <si>
    <t>W_6</t>
  </si>
  <si>
    <t>W_7</t>
  </si>
  <si>
    <t>W_5,0</t>
  </si>
  <si>
    <t>W_5,1</t>
  </si>
  <si>
    <t>W_5,2</t>
  </si>
  <si>
    <t>W_5,3</t>
  </si>
  <si>
    <t>W_6,0</t>
  </si>
  <si>
    <t>W_6,1</t>
  </si>
  <si>
    <t>W_6,2</t>
  </si>
  <si>
    <t>W_6,3</t>
  </si>
  <si>
    <t>W_7,0</t>
  </si>
  <si>
    <t>W_7,1</t>
  </si>
  <si>
    <t>W_7,2</t>
  </si>
  <si>
    <t>W_7,3</t>
  </si>
  <si>
    <t>K_1 XOR Rearranged(K_1)</t>
  </si>
  <si>
    <t>Transformed W_3</t>
  </si>
  <si>
    <t>b_0</t>
  </si>
  <si>
    <t>b_1</t>
  </si>
  <si>
    <t>b_2</t>
  </si>
  <si>
    <t>b_3</t>
  </si>
  <si>
    <t>b_4</t>
  </si>
  <si>
    <t>b_5</t>
  </si>
  <si>
    <t>b_6</t>
  </si>
  <si>
    <t>b_7</t>
  </si>
  <si>
    <t>s_0</t>
  </si>
  <si>
    <t>s_1</t>
  </si>
  <si>
    <t>s_2</t>
  </si>
  <si>
    <t>s_3</t>
  </si>
  <si>
    <t>s_4</t>
  </si>
  <si>
    <t>s_5</t>
  </si>
  <si>
    <t>s_6</t>
  </si>
  <si>
    <t>s_7</t>
  </si>
  <si>
    <t>ANSI  (Binary)</t>
  </si>
  <si>
    <t>ANSI  (Denary)</t>
  </si>
  <si>
    <t>ANSI  (Hex)</t>
  </si>
  <si>
    <t>ANSI  Plaintext XOR K_0</t>
  </si>
  <si>
    <r>
      <t>ANSI</t>
    </r>
    <r>
      <rPr>
        <sz val="16"/>
        <color rgb="FF202124"/>
        <rFont val="Calibri"/>
        <family val="2"/>
        <scheme val="minor"/>
      </rPr>
      <t> </t>
    </r>
  </si>
  <si>
    <t xml:space="preserve">ANSI </t>
  </si>
  <si>
    <t>Abstract</t>
  </si>
  <si>
    <t>Key Schedule</t>
  </si>
  <si>
    <t>This Excel document was designed as an educational tool for understandings of cryptographic principles of Advanced Encryption Standard (AES) specification. The goal is to provide a highly visual and interactive representation of AES processes for both one round of encryption and decryption.  The Excel documents audience requires users to have a basic understanding of computing terms such as character encoding, binary calculus, and binary operations.</t>
  </si>
  <si>
    <t>B_)</t>
  </si>
  <si>
    <t>Affine Transformation</t>
  </si>
  <si>
    <t xml:space="preserve">Inverse Affine Transformation </t>
  </si>
  <si>
    <t>Rijndael’s finite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</si>
</sst>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6"/>
      <color theme="1"/>
      <name val="Calibri"/>
      <family val="2"/>
      <scheme val="minor"/>
    </font>
    <font>
      <sz val="11"/>
      <color rgb="FF006100"/>
      <name val="Calibri"/>
      <family val="2"/>
      <scheme val="minor"/>
    </font>
    <font>
      <sz val="18"/>
      <color theme="1"/>
      <name val="Calibri"/>
      <family val="2"/>
      <scheme val="minor"/>
    </font>
    <font>
      <b/>
      <sz val="14"/>
      <color theme="1"/>
      <name val="Calibri"/>
      <family val="2"/>
      <scheme val="minor"/>
    </font>
    <font>
      <b/>
      <sz val="18"/>
      <color theme="1"/>
      <name val="Calibri"/>
      <family val="2"/>
      <scheme val="minor"/>
    </font>
    <font>
      <b/>
      <sz val="20"/>
      <color theme="1"/>
      <name val="Calibri"/>
      <family val="2"/>
      <scheme val="minor"/>
    </font>
    <font>
      <u/>
      <sz val="11"/>
      <color theme="1"/>
      <name val="Calibri"/>
      <family val="2"/>
      <scheme val="minor"/>
    </font>
    <font>
      <sz val="11"/>
      <color rgb="FF3F3F76"/>
      <name val="Calibri"/>
      <family val="2"/>
      <scheme val="minor"/>
    </font>
    <font>
      <b/>
      <sz val="8"/>
      <color rgb="FF202122"/>
      <name val="Arial"/>
      <family val="2"/>
    </font>
    <font>
      <sz val="8"/>
      <color rgb="FF202122"/>
      <name val="Arial"/>
      <family val="2"/>
    </font>
    <font>
      <b/>
      <sz val="16"/>
      <color theme="1"/>
      <name val="Calibri"/>
      <family val="2"/>
      <scheme val="minor"/>
    </font>
    <font>
      <sz val="14"/>
      <color theme="1"/>
      <name val="Calibri"/>
      <family val="2"/>
      <scheme val="minor"/>
    </font>
    <font>
      <u/>
      <sz val="11"/>
      <color theme="10"/>
      <name val="Calibri"/>
      <family val="2"/>
      <scheme val="minor"/>
    </font>
    <font>
      <b/>
      <sz val="24"/>
      <color theme="1"/>
      <name val="Calibri"/>
      <family val="2"/>
      <scheme val="minor"/>
    </font>
    <font>
      <sz val="12"/>
      <color rgb="FF0A0101"/>
      <name val="Arial"/>
      <family val="2"/>
    </font>
    <font>
      <b/>
      <sz val="22"/>
      <color theme="1"/>
      <name val="Calibri"/>
      <family val="2"/>
      <scheme val="minor"/>
    </font>
    <font>
      <sz val="22"/>
      <color theme="1"/>
      <name val="Calibri"/>
      <family val="2"/>
      <scheme val="minor"/>
    </font>
    <font>
      <sz val="11"/>
      <color rgb="FF9C5700"/>
      <name val="Calibri"/>
      <family val="2"/>
      <scheme val="minor"/>
    </font>
    <font>
      <sz val="9"/>
      <color indexed="81"/>
      <name val="Tahoma"/>
      <family val="2"/>
    </font>
    <font>
      <b/>
      <sz val="9"/>
      <color indexed="81"/>
      <name val="Tahoma"/>
      <family val="2"/>
    </font>
    <font>
      <b/>
      <sz val="18"/>
      <color indexed="81"/>
      <name val="Tahoma"/>
      <family val="2"/>
    </font>
    <font>
      <b/>
      <sz val="20"/>
      <color indexed="81"/>
      <name val="Tahoma"/>
      <family val="2"/>
    </font>
    <font>
      <sz val="18"/>
      <color rgb="FF006100"/>
      <name val="Calibri"/>
      <family val="2"/>
      <scheme val="minor"/>
    </font>
    <font>
      <sz val="22"/>
      <color rgb="FF006100"/>
      <name val="Calibri"/>
      <family val="2"/>
      <scheme val="minor"/>
    </font>
    <font>
      <sz val="18"/>
      <color rgb="FF000000"/>
      <name val="Calibri"/>
      <family val="2"/>
      <scheme val="minor"/>
    </font>
    <font>
      <sz val="18"/>
      <color rgb="FF9C5700"/>
      <name val="Calibri"/>
      <family val="2"/>
      <scheme val="minor"/>
    </font>
    <font>
      <sz val="20"/>
      <color indexed="81"/>
      <name val="Tahoma"/>
      <family val="2"/>
    </font>
    <font>
      <b/>
      <sz val="20"/>
      <color rgb="FF9C5700"/>
      <name val="Calibri"/>
      <family val="2"/>
      <scheme val="minor"/>
    </font>
    <font>
      <sz val="10"/>
      <color theme="1"/>
      <name val="Consolas"/>
      <family val="3"/>
    </font>
    <font>
      <sz val="24"/>
      <color rgb="FF9C5700"/>
      <name val="Calibri"/>
      <family val="2"/>
      <scheme val="minor"/>
    </font>
    <font>
      <sz val="36"/>
      <color theme="1"/>
      <name val="Calibri"/>
      <family val="2"/>
      <scheme val="minor"/>
    </font>
    <font>
      <sz val="12"/>
      <color theme="1"/>
      <name val="Times New Roman"/>
      <family val="1"/>
    </font>
    <font>
      <sz val="26"/>
      <color theme="1"/>
      <name val="Calibri"/>
      <family val="2"/>
      <scheme val="minor"/>
    </font>
    <font>
      <sz val="16"/>
      <color rgb="FF9C5700"/>
      <name val="Calibri"/>
      <family val="2"/>
      <scheme val="minor"/>
    </font>
    <font>
      <b/>
      <sz val="22"/>
      <color rgb="FF9C5700"/>
      <name val="Calibri"/>
      <family val="2"/>
      <scheme val="minor"/>
    </font>
    <font>
      <b/>
      <sz val="24"/>
      <color rgb="FF9C5700"/>
      <name val="Calibri"/>
      <family val="2"/>
      <scheme val="minor"/>
    </font>
    <font>
      <b/>
      <sz val="22"/>
      <color indexed="81"/>
      <name val="Tahoma"/>
      <family val="2"/>
    </font>
    <font>
      <sz val="20"/>
      <color theme="1"/>
      <name val="Calibri"/>
      <family val="2"/>
      <scheme val="minor"/>
    </font>
    <font>
      <b/>
      <sz val="16"/>
      <color rgb="FF202124"/>
      <name val="Calibri"/>
      <family val="2"/>
      <scheme val="minor"/>
    </font>
    <font>
      <sz val="16"/>
      <color rgb="FF202124"/>
      <name val="Calibri"/>
      <family val="2"/>
      <scheme val="minor"/>
    </font>
    <font>
      <b/>
      <u/>
      <sz val="22"/>
      <color theme="1"/>
      <name val="Calibri"/>
      <family val="2"/>
      <scheme val="minor"/>
    </font>
    <font>
      <b/>
      <u/>
      <sz val="22"/>
      <color rgb="FF000000"/>
      <name val="Calibri"/>
      <family val="2"/>
      <scheme val="minor"/>
    </font>
    <font>
      <b/>
      <sz val="20"/>
      <color theme="1"/>
      <name val="Tahoma"/>
      <family val="2"/>
    </font>
    <font>
      <b/>
      <sz val="14"/>
      <color indexed="81"/>
      <name val="Tahoma"/>
      <family val="2"/>
    </font>
  </fonts>
  <fills count="13">
    <fill>
      <patternFill patternType="none"/>
    </fill>
    <fill>
      <patternFill patternType="gray125"/>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rgb="FFC6EFCE"/>
      </patternFill>
    </fill>
    <fill>
      <patternFill patternType="solid">
        <fgColor rgb="FFFFCC99"/>
      </patternFill>
    </fill>
    <fill>
      <patternFill patternType="solid">
        <fgColor theme="6" tint="0.59999389629810485"/>
        <bgColor indexed="65"/>
      </patternFill>
    </fill>
    <fill>
      <patternFill patternType="solid">
        <fgColor rgb="FFF8F9FA"/>
        <bgColor indexed="64"/>
      </patternFill>
    </fill>
    <fill>
      <patternFill patternType="solid">
        <fgColor rgb="FFEAECF0"/>
        <bgColor indexed="64"/>
      </patternFill>
    </fill>
    <fill>
      <patternFill patternType="solid">
        <fgColor rgb="FFFFEB9C"/>
      </patternFill>
    </fill>
    <fill>
      <patternFill patternType="solid">
        <fgColor rgb="FF0066FF"/>
        <bgColor indexed="64"/>
      </patternFill>
    </fill>
  </fills>
  <borders count="120">
    <border>
      <left/>
      <right/>
      <top/>
      <bottom/>
      <diagonal/>
    </border>
    <border>
      <left/>
      <right/>
      <top/>
      <bottom style="medium">
        <color indexed="64"/>
      </bottom>
      <diagonal/>
    </border>
    <border>
      <left/>
      <right style="medium">
        <color indexed="64"/>
      </right>
      <top/>
      <bottom/>
      <diagonal/>
    </border>
    <border>
      <left style="medium">
        <color indexed="64"/>
      </left>
      <right/>
      <top/>
      <bottom/>
      <diagonal/>
    </border>
    <border>
      <left/>
      <right/>
      <top style="medium">
        <color indexed="64"/>
      </top>
      <bottom/>
      <diagonal/>
    </border>
    <border>
      <left style="medium">
        <color indexed="64"/>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indexed="64"/>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rgb="FFA2A9B1"/>
      </left>
      <right style="medium">
        <color rgb="FFA2A9B1"/>
      </right>
      <top style="medium">
        <color rgb="FFA2A9B1"/>
      </top>
      <bottom style="medium">
        <color rgb="FFA2A9B1"/>
      </bottom>
      <diagonal/>
    </border>
    <border>
      <left style="thin">
        <color indexed="64"/>
      </left>
      <right style="thin">
        <color indexed="64"/>
      </right>
      <top style="thin">
        <color indexed="64"/>
      </top>
      <bottom style="thin">
        <color indexed="64"/>
      </bottom>
      <diagonal/>
    </border>
    <border>
      <left/>
      <right/>
      <top/>
      <bottom style="medium">
        <color rgb="FFA2A9B1"/>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n">
        <color rgb="FF7F7F7F"/>
      </bottom>
      <diagonal/>
    </border>
    <border>
      <left/>
      <right style="thin">
        <color indexed="64"/>
      </right>
      <top/>
      <bottom/>
      <diagonal/>
    </border>
    <border>
      <left style="thin">
        <color indexed="64"/>
      </left>
      <right style="thin">
        <color indexed="64"/>
      </right>
      <top/>
      <bottom/>
      <diagonal/>
    </border>
    <border>
      <left/>
      <right/>
      <top style="thin">
        <color indexed="64"/>
      </top>
      <bottom style="thin">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style="medium">
        <color indexed="64"/>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00B050"/>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top/>
      <bottom/>
      <diagonal/>
    </border>
    <border>
      <left/>
      <right style="thick">
        <color rgb="FF00B050"/>
      </right>
      <top/>
      <bottom/>
      <diagonal/>
    </border>
    <border>
      <left style="thick">
        <color rgb="FF00B050"/>
      </left>
      <right style="medium">
        <color indexed="64"/>
      </right>
      <top/>
      <bottom/>
      <diagonal/>
    </border>
    <border>
      <left style="thick">
        <color rgb="FF00B050"/>
      </left>
      <right/>
      <top/>
      <bottom style="thick">
        <color rgb="FF00B050"/>
      </bottom>
      <diagonal/>
    </border>
    <border>
      <left/>
      <right/>
      <top style="medium">
        <color indexed="64"/>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rgb="FF00B0F0"/>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top/>
      <bottom/>
      <diagonal/>
    </border>
    <border>
      <left/>
      <right style="thick">
        <color rgb="FF00B0F0"/>
      </right>
      <top/>
      <bottom/>
      <diagonal/>
    </border>
    <border>
      <left style="thick">
        <color rgb="FF00B0F0"/>
      </left>
      <right style="medium">
        <color indexed="64"/>
      </right>
      <top/>
      <bottom/>
      <diagonal/>
    </border>
    <border>
      <left style="thick">
        <color rgb="FF00B0F0"/>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5"/>
      </left>
      <right/>
      <top style="thick">
        <color theme="5"/>
      </top>
      <bottom/>
      <diagonal/>
    </border>
    <border>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top/>
      <bottom style="thick">
        <color theme="5"/>
      </bottom>
      <diagonal/>
    </border>
    <border>
      <left/>
      <right style="thick">
        <color theme="5"/>
      </right>
      <top/>
      <bottom style="thick">
        <color theme="5"/>
      </bottom>
      <diagonal/>
    </border>
    <border>
      <left style="thick">
        <color rgb="FF0000FF"/>
      </left>
      <right/>
      <top style="thick">
        <color rgb="FF0000FF"/>
      </top>
      <bottom/>
      <diagonal/>
    </border>
    <border>
      <left/>
      <right/>
      <top style="thick">
        <color rgb="FF0000FF"/>
      </top>
      <bottom/>
      <diagonal/>
    </border>
    <border>
      <left/>
      <right style="thick">
        <color rgb="FF0000FF"/>
      </right>
      <top style="thick">
        <color rgb="FF0000FF"/>
      </top>
      <bottom/>
      <diagonal/>
    </border>
    <border>
      <left style="thick">
        <color rgb="FF0000FF"/>
      </left>
      <right/>
      <top/>
      <bottom/>
      <diagonal/>
    </border>
    <border>
      <left/>
      <right style="thick">
        <color rgb="FF0000FF"/>
      </right>
      <top/>
      <bottom/>
      <diagonal/>
    </border>
    <border>
      <left style="thick">
        <color rgb="FF0000FF"/>
      </left>
      <right style="medium">
        <color indexed="64"/>
      </right>
      <top/>
      <bottom/>
      <diagonal/>
    </border>
    <border>
      <left style="thick">
        <color rgb="FF0000FF"/>
      </left>
      <right/>
      <top/>
      <bottom style="thick">
        <color rgb="FF0000FF"/>
      </bottom>
      <diagonal/>
    </border>
    <border>
      <left/>
      <right/>
      <top/>
      <bottom style="thick">
        <color rgb="FF0000FF"/>
      </bottom>
      <diagonal/>
    </border>
    <border>
      <left/>
      <right style="thick">
        <color rgb="FF0000FF"/>
      </right>
      <top/>
      <bottom style="thick">
        <color rgb="FF0000FF"/>
      </bottom>
      <diagonal/>
    </border>
    <border>
      <left/>
      <right/>
      <top style="thick">
        <color rgb="FFFF00FF"/>
      </top>
      <bottom/>
      <diagonal/>
    </border>
    <border>
      <left/>
      <right style="thick">
        <color rgb="FFFF00FF"/>
      </right>
      <top style="thick">
        <color rgb="FFFF00FF"/>
      </top>
      <bottom/>
      <diagonal/>
    </border>
    <border>
      <left style="thick">
        <color rgb="FFFF00FF"/>
      </left>
      <right/>
      <top/>
      <bottom/>
      <diagonal/>
    </border>
    <border>
      <left/>
      <right style="thick">
        <color rgb="FFFF00FF"/>
      </right>
      <top/>
      <bottom/>
      <diagonal/>
    </border>
    <border>
      <left style="thick">
        <color rgb="FFFF00FF"/>
      </left>
      <right style="medium">
        <color indexed="64"/>
      </right>
      <top/>
      <bottom/>
      <diagonal/>
    </border>
    <border>
      <left style="thick">
        <color rgb="FFFF00FF"/>
      </left>
      <right/>
      <top/>
      <bottom style="thick">
        <color rgb="FFFF00FF"/>
      </bottom>
      <diagonal/>
    </border>
    <border>
      <left/>
      <right/>
      <top/>
      <bottom style="thick">
        <color rgb="FFFF00FF"/>
      </bottom>
      <diagonal/>
    </border>
    <border>
      <left/>
      <right style="thick">
        <color rgb="FFFF00FF"/>
      </right>
      <top/>
      <bottom style="thick">
        <color rgb="FFFF00FF"/>
      </bottom>
      <diagonal/>
    </border>
    <border>
      <left style="thick">
        <color theme="9"/>
      </left>
      <right/>
      <top style="thick">
        <color theme="9"/>
      </top>
      <bottom/>
      <diagonal/>
    </border>
    <border>
      <left/>
      <right/>
      <top style="thick">
        <color theme="9"/>
      </top>
      <bottom/>
      <diagonal/>
    </border>
    <border>
      <left/>
      <right style="thick">
        <color theme="9"/>
      </right>
      <top style="thick">
        <color theme="9"/>
      </top>
      <bottom/>
      <diagonal/>
    </border>
    <border>
      <left style="thick">
        <color theme="9"/>
      </left>
      <right/>
      <top/>
      <bottom/>
      <diagonal/>
    </border>
    <border>
      <left/>
      <right style="thick">
        <color theme="9"/>
      </right>
      <top/>
      <bottom/>
      <diagonal/>
    </border>
    <border>
      <left style="thick">
        <color theme="9"/>
      </left>
      <right/>
      <top/>
      <bottom style="thick">
        <color theme="9"/>
      </bottom>
      <diagonal/>
    </border>
    <border>
      <left/>
      <right/>
      <top/>
      <bottom style="thick">
        <color theme="9"/>
      </bottom>
      <diagonal/>
    </border>
    <border>
      <left/>
      <right style="thick">
        <color theme="9"/>
      </right>
      <top/>
      <bottom style="thick">
        <color theme="9"/>
      </bottom>
      <diagonal/>
    </border>
    <border>
      <left style="thick">
        <color rgb="FF92D050"/>
      </left>
      <right/>
      <top style="thick">
        <color rgb="FF92D050"/>
      </top>
      <bottom/>
      <diagonal/>
    </border>
    <border>
      <left/>
      <right/>
      <top style="thick">
        <color rgb="FF92D050"/>
      </top>
      <bottom/>
      <diagonal/>
    </border>
    <border>
      <left/>
      <right style="thick">
        <color rgb="FF92D050"/>
      </right>
      <top style="thick">
        <color rgb="FF92D050"/>
      </top>
      <bottom/>
      <diagonal/>
    </border>
    <border>
      <left style="thick">
        <color rgb="FF92D050"/>
      </left>
      <right/>
      <top/>
      <bottom/>
      <diagonal/>
    </border>
    <border>
      <left/>
      <right style="thick">
        <color rgb="FF92D050"/>
      </right>
      <top/>
      <bottom/>
      <diagonal/>
    </border>
    <border>
      <left style="thick">
        <color rgb="FF92D050"/>
      </left>
      <right style="medium">
        <color indexed="64"/>
      </right>
      <top/>
      <bottom/>
      <diagonal/>
    </border>
    <border>
      <left style="thick">
        <color rgb="FF92D050"/>
      </left>
      <right/>
      <top/>
      <bottom style="thick">
        <color rgb="FF92D050"/>
      </bottom>
      <diagonal/>
    </border>
    <border>
      <left/>
      <right/>
      <top/>
      <bottom style="thick">
        <color rgb="FF92D050"/>
      </bottom>
      <diagonal/>
    </border>
    <border>
      <left/>
      <right/>
      <top style="medium">
        <color indexed="64"/>
      </top>
      <bottom style="thick">
        <color rgb="FF92D050"/>
      </bottom>
      <diagonal/>
    </border>
    <border>
      <left/>
      <right style="thick">
        <color rgb="FF92D050"/>
      </right>
      <top/>
      <bottom style="thick">
        <color rgb="FF92D050"/>
      </bottom>
      <diagonal/>
    </border>
    <border>
      <left style="thick">
        <color rgb="FF0099FF"/>
      </left>
      <right/>
      <top style="thick">
        <color rgb="FF0099FF"/>
      </top>
      <bottom/>
      <diagonal/>
    </border>
    <border>
      <left/>
      <right/>
      <top style="thick">
        <color rgb="FF0099FF"/>
      </top>
      <bottom/>
      <diagonal/>
    </border>
    <border>
      <left/>
      <right style="thick">
        <color rgb="FF0099FF"/>
      </right>
      <top style="thick">
        <color rgb="FF0099FF"/>
      </top>
      <bottom/>
      <diagonal/>
    </border>
    <border>
      <left style="thick">
        <color rgb="FF0099FF"/>
      </left>
      <right/>
      <top/>
      <bottom/>
      <diagonal/>
    </border>
    <border>
      <left/>
      <right style="thick">
        <color rgb="FF0099FF"/>
      </right>
      <top/>
      <bottom/>
      <diagonal/>
    </border>
    <border>
      <left style="thick">
        <color rgb="FF0099FF"/>
      </left>
      <right style="medium">
        <color indexed="64"/>
      </right>
      <top/>
      <bottom/>
      <diagonal/>
    </border>
    <border>
      <left style="thick">
        <color rgb="FF0099FF"/>
      </left>
      <right/>
      <top/>
      <bottom style="thick">
        <color rgb="FF0099FF"/>
      </bottom>
      <diagonal/>
    </border>
    <border>
      <left/>
      <right/>
      <top style="medium">
        <color indexed="64"/>
      </top>
      <bottom style="thick">
        <color rgb="FF0099FF"/>
      </bottom>
      <diagonal/>
    </border>
    <border>
      <left/>
      <right/>
      <top/>
      <bottom style="thick">
        <color rgb="FF0099FF"/>
      </bottom>
      <diagonal/>
    </border>
    <border>
      <left/>
      <right style="thick">
        <color rgb="FF0099FF"/>
      </right>
      <top/>
      <bottom style="thick">
        <color rgb="FF0099FF"/>
      </bottom>
      <diagonal/>
    </border>
    <border>
      <left style="thick">
        <color theme="5"/>
      </left>
      <right style="medium">
        <color indexed="64"/>
      </right>
      <top/>
      <bottom/>
      <diagonal/>
    </border>
    <border>
      <left style="thick">
        <color rgb="FFE60ADC"/>
      </left>
      <right/>
      <top style="thick">
        <color rgb="FFE60ADC"/>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rgb="FFFF0000"/>
      </top>
      <bottom style="thick">
        <color rgb="FF00B050"/>
      </bottom>
      <diagonal/>
    </border>
    <border>
      <left/>
      <right/>
      <top style="thick">
        <color rgb="FF00B050"/>
      </top>
      <bottom style="thick">
        <color rgb="FF00B0F0"/>
      </bottom>
      <diagonal/>
    </border>
    <border>
      <left/>
      <right style="thick">
        <color rgb="FF6A2CC4"/>
      </right>
      <top/>
      <bottom/>
      <diagonal/>
    </border>
    <border>
      <left/>
      <right style="thick">
        <color rgb="FF6A2CC4"/>
      </right>
      <top style="thick">
        <color rgb="FF6A2CC4"/>
      </top>
      <bottom/>
      <diagonal/>
    </border>
    <border>
      <left/>
      <right/>
      <top/>
      <bottom style="thick">
        <color rgb="FF6A2CC4"/>
      </bottom>
      <diagonal/>
    </border>
    <border>
      <left/>
      <right/>
      <top style="medium">
        <color indexed="64"/>
      </top>
      <bottom style="thick">
        <color rgb="FF6A2CC4"/>
      </bottom>
      <diagonal/>
    </border>
    <border>
      <left/>
      <right style="thick">
        <color rgb="FF6A2CC4"/>
      </right>
      <top/>
      <bottom style="thick">
        <color rgb="FF6A2CC4"/>
      </bottom>
      <diagonal/>
    </border>
    <border>
      <left style="thick">
        <color rgb="FF6A2CC4"/>
      </left>
      <right/>
      <top/>
      <bottom style="thick">
        <color rgb="FF6A2CC4"/>
      </bottom>
      <diagonal/>
    </border>
    <border>
      <left/>
      <right/>
      <top style="thick">
        <color rgb="FFFF0000"/>
      </top>
      <bottom style="thick">
        <color rgb="FF6A2CC4"/>
      </bottom>
      <diagonal/>
    </border>
    <border>
      <left/>
      <right/>
      <top style="thick">
        <color rgb="FF6A2CC4"/>
      </top>
      <bottom style="thick">
        <color theme="5"/>
      </bottom>
      <diagonal/>
    </border>
    <border>
      <left style="thick">
        <color rgb="FF6A2CC4"/>
      </left>
      <right/>
      <top/>
      <bottom/>
      <diagonal/>
    </border>
  </borders>
  <cellStyleXfs count="11">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5" fillId="6" borderId="0" applyNumberFormat="0" applyBorder="0" applyAlignment="0" applyProtection="0"/>
    <xf numFmtId="0" fontId="11" fillId="7" borderId="12" applyNumberFormat="0" applyAlignment="0" applyProtection="0"/>
    <xf numFmtId="0" fontId="1" fillId="8" borderId="0" applyNumberFormat="0" applyBorder="0" applyAlignment="0" applyProtection="0"/>
    <xf numFmtId="0" fontId="16" fillId="0" borderId="0" applyNumberFormat="0" applyFill="0" applyBorder="0" applyAlignment="0" applyProtection="0"/>
    <xf numFmtId="0" fontId="21" fillId="11" borderId="0" applyNumberFormat="0" applyBorder="0" applyAlignment="0" applyProtection="0"/>
    <xf numFmtId="0" fontId="1" fillId="12" borderId="0" applyNumberFormat="0" applyFont="0" applyBorder="0" applyAlignment="0"/>
  </cellStyleXfs>
  <cellXfs count="402">
    <xf numFmtId="0" fontId="0" fillId="0" borderId="0" xfId="0"/>
    <xf numFmtId="0" fontId="0" fillId="0" borderId="0" xfId="0" applyAlignment="1"/>
    <xf numFmtId="0" fontId="0" fillId="0" borderId="1" xfId="0" applyBorder="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8" xfId="0" applyBorder="1" applyAlignment="1">
      <alignment horizontal="center"/>
    </xf>
    <xf numFmtId="0" fontId="0" fillId="0" borderId="3" xfId="0" applyBorder="1" applyAlignment="1">
      <alignment horizontal="center"/>
    </xf>
    <xf numFmtId="0" fontId="0" fillId="0" borderId="5" xfId="0" quotePrefix="1" applyBorder="1" applyAlignment="1">
      <alignment horizontal="center"/>
    </xf>
    <xf numFmtId="0" fontId="0" fillId="0" borderId="9" xfId="0" applyBorder="1" applyAlignment="1">
      <alignment horizontal="center"/>
    </xf>
    <xf numFmtId="0" fontId="0" fillId="0" borderId="5" xfId="0" applyBorder="1" applyAlignment="1">
      <alignment horizontal="center"/>
    </xf>
    <xf numFmtId="0" fontId="0" fillId="0" borderId="2" xfId="0" applyFont="1" applyBorder="1" applyAlignment="1">
      <alignment horizontal="center"/>
    </xf>
    <xf numFmtId="0" fontId="0" fillId="0" borderId="7" xfId="0" applyBorder="1" applyAlignment="1">
      <alignment horizontal="center"/>
    </xf>
    <xf numFmtId="0" fontId="0" fillId="0" borderId="0" xfId="0" applyFill="1" applyBorder="1" applyAlignment="1">
      <alignment horizontal="center"/>
    </xf>
    <xf numFmtId="0" fontId="0" fillId="0" borderId="6" xfId="0" applyBorder="1" applyAlignment="1">
      <alignment horizontal="center"/>
    </xf>
    <xf numFmtId="0" fontId="4" fillId="0" borderId="5" xfId="0" quotePrefix="1" applyFont="1" applyBorder="1" applyAlignment="1">
      <alignment horizontal="center"/>
    </xf>
    <xf numFmtId="0" fontId="4" fillId="0" borderId="5" xfId="0" applyFont="1" applyBorder="1" applyAlignment="1">
      <alignment horizontal="center"/>
    </xf>
    <xf numFmtId="0" fontId="4" fillId="0" borderId="5" xfId="0" applyFont="1" applyFill="1" applyBorder="1" applyAlignment="1">
      <alignment horizontal="center"/>
    </xf>
    <xf numFmtId="0" fontId="4" fillId="0" borderId="0" xfId="0" quotePrefix="1" applyFont="1" applyAlignment="1">
      <alignment horizontal="center"/>
    </xf>
    <xf numFmtId="0" fontId="4" fillId="0" borderId="2" xfId="0" applyFont="1" applyFill="1" applyBorder="1" applyAlignment="1">
      <alignment horizontal="center"/>
    </xf>
    <xf numFmtId="0" fontId="4" fillId="0" borderId="2" xfId="0" applyFont="1" applyBorder="1" applyAlignment="1">
      <alignment horizontal="center"/>
    </xf>
    <xf numFmtId="0" fontId="0" fillId="0" borderId="0" xfId="0" applyAlignment="1">
      <alignment horizontal="center" vertical="center"/>
    </xf>
    <xf numFmtId="0" fontId="4" fillId="0" borderId="5" xfId="0" quotePrefix="1" applyFont="1" applyBorder="1" applyAlignment="1">
      <alignment horizontal="center" vertical="center"/>
    </xf>
    <xf numFmtId="0" fontId="3" fillId="0" borderId="0" xfId="0" applyFont="1"/>
    <xf numFmtId="0" fontId="7" fillId="0" borderId="0" xfId="0" applyFont="1"/>
    <xf numFmtId="0" fontId="8" fillId="0" borderId="0" xfId="0" applyFont="1" applyAlignment="1">
      <alignment horizontal="center"/>
    </xf>
    <xf numFmtId="0" fontId="0" fillId="0" borderId="0" xfId="0" applyBorder="1" applyAlignment="1"/>
    <xf numFmtId="0" fontId="10" fillId="0" borderId="0" xfId="0" applyFont="1"/>
    <xf numFmtId="0" fontId="9" fillId="0" borderId="0" xfId="0" applyFont="1" applyAlignment="1">
      <alignment horizontal="center"/>
    </xf>
    <xf numFmtId="0" fontId="7" fillId="0" borderId="0" xfId="0" applyFont="1" applyAlignment="1">
      <alignment horizontal="left"/>
    </xf>
    <xf numFmtId="49" fontId="0" fillId="0" borderId="0" xfId="0" applyNumberFormat="1"/>
    <xf numFmtId="49" fontId="12" fillId="10" borderId="13" xfId="0" applyNumberFormat="1" applyFont="1" applyFill="1" applyBorder="1" applyAlignment="1">
      <alignment horizontal="center" wrapText="1"/>
    </xf>
    <xf numFmtId="0" fontId="12" fillId="10" borderId="13" xfId="0" applyFont="1" applyFill="1" applyBorder="1" applyAlignment="1">
      <alignment horizontal="center" wrapText="1"/>
    </xf>
    <xf numFmtId="49" fontId="13" fillId="9" borderId="13" xfId="0" applyNumberFormat="1" applyFont="1" applyFill="1" applyBorder="1" applyAlignment="1">
      <alignment horizontal="center" wrapText="1"/>
    </xf>
    <xf numFmtId="0" fontId="0" fillId="0" borderId="0" xfId="0" quotePrefix="1"/>
    <xf numFmtId="0" fontId="7" fillId="0" borderId="0" xfId="0" applyFont="1" applyAlignment="1"/>
    <xf numFmtId="0" fontId="0" fillId="0" borderId="0" xfId="0" applyNumberFormat="1"/>
    <xf numFmtId="0" fontId="14" fillId="0" borderId="0" xfId="0" applyFont="1" applyAlignment="1">
      <alignment horizontal="center"/>
    </xf>
    <xf numFmtId="0" fontId="0" fillId="0" borderId="2" xfId="0" quotePrefix="1" applyBorder="1" applyAlignment="1">
      <alignment horizontal="center"/>
    </xf>
    <xf numFmtId="0" fontId="0" fillId="0" borderId="2" xfId="0" quotePrefix="1" applyFill="1" applyBorder="1" applyAlignment="1">
      <alignment horizontal="center"/>
    </xf>
    <xf numFmtId="0" fontId="0" fillId="0" borderId="0" xfId="0" applyAlignment="1">
      <alignment horizontal="right"/>
    </xf>
    <xf numFmtId="0" fontId="16" fillId="0" borderId="0" xfId="8"/>
    <xf numFmtId="0" fontId="4" fillId="0" borderId="2" xfId="0" quotePrefix="1" applyFont="1" applyBorder="1" applyAlignment="1">
      <alignment horizontal="center"/>
    </xf>
    <xf numFmtId="0" fontId="1" fillId="5" borderId="0" xfId="4" applyAlignment="1">
      <alignment horizontal="center"/>
    </xf>
    <xf numFmtId="0" fontId="1" fillId="4" borderId="16" xfId="3" applyBorder="1" applyAlignment="1">
      <alignment horizontal="center"/>
    </xf>
    <xf numFmtId="0" fontId="1" fillId="2" borderId="16" xfId="1" applyBorder="1" applyAlignment="1">
      <alignment horizontal="center"/>
    </xf>
    <xf numFmtId="0" fontId="1" fillId="3" borderId="16" xfId="2" applyBorder="1" applyAlignment="1">
      <alignment horizontal="center"/>
    </xf>
    <xf numFmtId="0" fontId="1" fillId="5" borderId="16" xfId="4" applyBorder="1" applyAlignment="1">
      <alignment horizontal="center"/>
    </xf>
    <xf numFmtId="0" fontId="1" fillId="4" borderId="0" xfId="3" applyBorder="1" applyAlignment="1">
      <alignment horizontal="center"/>
    </xf>
    <xf numFmtId="0" fontId="1" fillId="2" borderId="8" xfId="1" applyBorder="1" applyAlignment="1">
      <alignment horizontal="center"/>
    </xf>
    <xf numFmtId="0" fontId="1" fillId="2" borderId="19" xfId="1" applyBorder="1" applyAlignment="1">
      <alignment horizontal="center"/>
    </xf>
    <xf numFmtId="0" fontId="1" fillId="3" borderId="19" xfId="2" applyBorder="1" applyAlignment="1">
      <alignment horizontal="center"/>
    </xf>
    <xf numFmtId="0" fontId="1" fillId="4" borderId="19" xfId="3" applyBorder="1" applyAlignment="1">
      <alignment horizontal="center"/>
    </xf>
    <xf numFmtId="0" fontId="1" fillId="5" borderId="8" xfId="4" applyBorder="1" applyAlignment="1">
      <alignment horizontal="center"/>
    </xf>
    <xf numFmtId="0" fontId="1" fillId="5" borderId="19" xfId="4" applyBorder="1" applyAlignment="1">
      <alignment horizontal="center"/>
    </xf>
    <xf numFmtId="0" fontId="1" fillId="2" borderId="5" xfId="1" applyBorder="1" applyAlignment="1">
      <alignment horizontal="center"/>
    </xf>
    <xf numFmtId="0" fontId="1" fillId="5" borderId="5" xfId="4" applyBorder="1" applyAlignment="1">
      <alignment horizontal="center"/>
    </xf>
    <xf numFmtId="0" fontId="1" fillId="3" borderId="5" xfId="2" applyBorder="1" applyAlignment="1">
      <alignment horizontal="center"/>
    </xf>
    <xf numFmtId="0" fontId="0" fillId="0" borderId="2" xfId="0" applyBorder="1" applyAlignment="1"/>
    <xf numFmtId="0" fontId="0" fillId="0" borderId="19" xfId="0" applyBorder="1" applyAlignment="1">
      <alignment horizontal="center"/>
    </xf>
    <xf numFmtId="0" fontId="0" fillId="0" borderId="0" xfId="0" quotePrefix="1" applyBorder="1" applyAlignment="1">
      <alignment horizontal="center"/>
    </xf>
    <xf numFmtId="0" fontId="0" fillId="0" borderId="0" xfId="0" applyAlignment="1">
      <alignment vertical="center"/>
    </xf>
    <xf numFmtId="49" fontId="0" fillId="0" borderId="0" xfId="0" applyNumberFormat="1" applyAlignment="1">
      <alignment horizontal="center" vertical="center"/>
    </xf>
    <xf numFmtId="0" fontId="0" fillId="0" borderId="18" xfId="0" applyBorder="1" applyAlignment="1">
      <alignment horizontal="center"/>
    </xf>
    <xf numFmtId="49" fontId="0" fillId="0" borderId="19" xfId="0" applyNumberFormat="1" applyBorder="1" applyAlignment="1">
      <alignment horizontal="center" vertical="center"/>
    </xf>
    <xf numFmtId="49" fontId="0" fillId="0" borderId="5" xfId="0" applyNumberFormat="1" applyBorder="1" applyAlignment="1">
      <alignment horizontal="center" vertical="center"/>
    </xf>
    <xf numFmtId="49" fontId="0" fillId="0" borderId="9" xfId="0" applyNumberFormat="1" applyBorder="1" applyAlignment="1">
      <alignment horizontal="center" vertical="center"/>
    </xf>
    <xf numFmtId="49" fontId="0" fillId="0" borderId="2" xfId="0" applyNumberFormat="1" applyBorder="1" applyAlignment="1">
      <alignment horizontal="center" vertical="center"/>
    </xf>
    <xf numFmtId="0" fontId="1" fillId="4" borderId="9" xfId="3" applyBorder="1" applyAlignment="1">
      <alignment horizontal="center"/>
    </xf>
    <xf numFmtId="0" fontId="4" fillId="0" borderId="3" xfId="0" quotePrefix="1" applyFont="1" applyBorder="1" applyAlignment="1">
      <alignment horizontal="center"/>
    </xf>
    <xf numFmtId="0" fontId="0" fillId="0" borderId="2" xfId="0" applyBorder="1" applyAlignment="1">
      <alignment horizontal="left"/>
    </xf>
    <xf numFmtId="0" fontId="0" fillId="0" borderId="1" xfId="0" applyBorder="1" applyAlignment="1"/>
    <xf numFmtId="49" fontId="0" fillId="0" borderId="0" xfId="0" applyNumberFormat="1" applyBorder="1" applyAlignment="1">
      <alignment horizontal="center" vertical="center"/>
    </xf>
    <xf numFmtId="0" fontId="11" fillId="7" borderId="12" xfId="6" applyAlignment="1">
      <alignment horizontal="center"/>
    </xf>
    <xf numFmtId="0" fontId="17" fillId="0" borderId="0" xfId="0" applyFont="1" applyAlignment="1">
      <alignment horizontal="center"/>
    </xf>
    <xf numFmtId="49" fontId="12" fillId="10" borderId="13" xfId="0" applyNumberFormat="1" applyFont="1" applyFill="1" applyBorder="1" applyAlignment="1">
      <alignment horizontal="center" vertical="center" wrapText="1"/>
    </xf>
    <xf numFmtId="0" fontId="0" fillId="0" borderId="14" xfId="0" quotePrefix="1" applyBorder="1" applyAlignment="1">
      <alignment horizontal="center"/>
    </xf>
    <xf numFmtId="0" fontId="0" fillId="0" borderId="21" xfId="0" applyBorder="1" applyAlignment="1">
      <alignment horizontal="center"/>
    </xf>
    <xf numFmtId="0" fontId="0" fillId="0" borderId="21" xfId="0" applyBorder="1"/>
    <xf numFmtId="0" fontId="0" fillId="0" borderId="22" xfId="0" applyBorder="1" applyAlignment="1">
      <alignment horizontal="center"/>
    </xf>
    <xf numFmtId="0" fontId="0" fillId="0" borderId="22" xfId="0" applyBorder="1"/>
    <xf numFmtId="0" fontId="0" fillId="0" borderId="2" xfId="0" applyBorder="1" applyAlignment="1">
      <alignment horizontal="center" vertical="center"/>
    </xf>
    <xf numFmtId="0" fontId="0" fillId="0" borderId="0" xfId="0" applyBorder="1" applyAlignment="1">
      <alignment horizontal="center" vertical="center"/>
    </xf>
    <xf numFmtId="0" fontId="0" fillId="0" borderId="0" xfId="0"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xf numFmtId="0" fontId="0" fillId="0" borderId="11" xfId="0" applyBorder="1"/>
    <xf numFmtId="0" fontId="0" fillId="0" borderId="11" xfId="0" applyFont="1" applyBorder="1" applyAlignment="1">
      <alignment horizontal="center"/>
    </xf>
    <xf numFmtId="0" fontId="1" fillId="4" borderId="8" xfId="3" applyBorder="1" applyAlignment="1">
      <alignment horizontal="center"/>
    </xf>
    <xf numFmtId="0" fontId="0" fillId="0" borderId="0" xfId="0" applyBorder="1" applyAlignment="1">
      <alignment horizontal="right"/>
    </xf>
    <xf numFmtId="0" fontId="1" fillId="3" borderId="8" xfId="2" applyBorder="1" applyAlignment="1">
      <alignment horizontal="center"/>
    </xf>
    <xf numFmtId="0" fontId="1" fillId="2" borderId="4" xfId="1" applyBorder="1" applyAlignment="1">
      <alignment horizontal="center"/>
    </xf>
    <xf numFmtId="0" fontId="14" fillId="0" borderId="0" xfId="0" applyFont="1" applyAlignment="1">
      <alignment horizontal="right"/>
    </xf>
    <xf numFmtId="0" fontId="4" fillId="0" borderId="0" xfId="0" applyFont="1" applyBorder="1" applyAlignment="1">
      <alignment horizontal="center"/>
    </xf>
    <xf numFmtId="0" fontId="4" fillId="0" borderId="5" xfId="0" quotePrefix="1" applyFont="1" applyFill="1" applyBorder="1" applyAlignment="1">
      <alignment horizontal="center"/>
    </xf>
    <xf numFmtId="0" fontId="6" fillId="0" borderId="0" xfId="0" applyFont="1" applyAlignment="1"/>
    <xf numFmtId="0" fontId="19" fillId="0" borderId="0" xfId="0" applyFont="1" applyAlignment="1">
      <alignment horizontal="right"/>
    </xf>
    <xf numFmtId="49" fontId="1" fillId="8" borderId="14" xfId="7" applyNumberFormat="1" applyBorder="1" applyAlignment="1">
      <alignment horizontal="center"/>
    </xf>
    <xf numFmtId="0" fontId="1" fillId="8" borderId="14" xfId="7" applyNumberFormat="1" applyBorder="1" applyAlignment="1">
      <alignment horizontal="center"/>
    </xf>
    <xf numFmtId="0" fontId="0" fillId="0" borderId="14" xfId="0" applyNumberFormat="1" applyBorder="1" applyAlignment="1">
      <alignment horizontal="center"/>
    </xf>
    <xf numFmtId="0" fontId="0" fillId="0" borderId="0" xfId="0" applyFill="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xf numFmtId="0" fontId="0" fillId="0" borderId="0" xfId="0"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0" xfId="0"/>
    <xf numFmtId="0" fontId="0" fillId="0" borderId="0" xfId="0" applyAlignment="1">
      <alignment horizontal="center"/>
    </xf>
    <xf numFmtId="0" fontId="0" fillId="0" borderId="0" xfId="0" applyBorder="1" applyAlignment="1">
      <alignment horizontal="center"/>
    </xf>
    <xf numFmtId="0" fontId="0" fillId="0" borderId="0" xfId="0"/>
    <xf numFmtId="0" fontId="0" fillId="0" borderId="11" xfId="0" applyBorder="1" applyAlignment="1">
      <alignment horizontal="center"/>
    </xf>
    <xf numFmtId="49" fontId="13" fillId="9" borderId="13" xfId="0" applyNumberFormat="1" applyFont="1" applyFill="1" applyBorder="1" applyAlignment="1">
      <alignment horizontal="center" vertical="center" wrapText="1"/>
    </xf>
    <xf numFmtId="0" fontId="31" fillId="11" borderId="0" xfId="9" applyFont="1" applyBorder="1" applyAlignment="1">
      <alignment horizontal="center"/>
    </xf>
    <xf numFmtId="0" fontId="4" fillId="0" borderId="0" xfId="0" quotePrefix="1" applyFont="1" applyBorder="1" applyAlignment="1">
      <alignment horizontal="center"/>
    </xf>
    <xf numFmtId="0" fontId="0" fillId="0" borderId="0" xfId="0" applyBorder="1" applyAlignment="1">
      <alignment horizontal="center"/>
    </xf>
    <xf numFmtId="0" fontId="0" fillId="0" borderId="2" xfId="0" applyBorder="1" applyAlignment="1">
      <alignment horizontal="center" vertical="center"/>
    </xf>
    <xf numFmtId="0" fontId="0" fillId="0" borderId="0" xfId="0"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xf numFmtId="0" fontId="0" fillId="0" borderId="11" xfId="0" applyBorder="1" applyAlignment="1">
      <alignment horizontal="center"/>
    </xf>
    <xf numFmtId="0" fontId="0" fillId="0" borderId="4" xfId="0" applyBorder="1" applyAlignment="1">
      <alignment horizontal="center"/>
    </xf>
    <xf numFmtId="0" fontId="32" fillId="0" borderId="0" xfId="0" applyFont="1" applyAlignment="1">
      <alignment horizontal="center" vertical="center"/>
    </xf>
    <xf numFmtId="0" fontId="4" fillId="0" borderId="0" xfId="0" applyFont="1"/>
    <xf numFmtId="0" fontId="4" fillId="0" borderId="0" xfId="0" applyFont="1" applyAlignment="1">
      <alignment horizontal="center"/>
    </xf>
    <xf numFmtId="0" fontId="4" fillId="0" borderId="0" xfId="0" applyFont="1" applyAlignment="1">
      <alignment horizontal="center"/>
    </xf>
    <xf numFmtId="0" fontId="34" fillId="0" borderId="0" xfId="0" applyFont="1" applyAlignment="1">
      <alignment vertical="center"/>
    </xf>
    <xf numFmtId="0" fontId="4" fillId="0" borderId="0" xfId="0" applyFont="1" applyAlignment="1"/>
    <xf numFmtId="0" fontId="4" fillId="0" borderId="0" xfId="0" applyFont="1" applyAlignment="1">
      <alignment horizontal="right" vertical="center" indent="8"/>
    </xf>
    <xf numFmtId="0" fontId="0" fillId="0" borderId="0" xfId="0"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2" xfId="0" applyBorder="1" applyAlignment="1">
      <alignment horizontal="center" vertical="center"/>
    </xf>
    <xf numFmtId="0" fontId="0" fillId="0" borderId="0" xfId="0" applyBorder="1" applyAlignment="1">
      <alignment horizontal="center" vertical="center"/>
    </xf>
    <xf numFmtId="0" fontId="0" fillId="0" borderId="0" xfId="0"/>
    <xf numFmtId="0" fontId="0" fillId="0" borderId="4" xfId="0" applyBorder="1" applyAlignment="1">
      <alignment horizontal="center"/>
    </xf>
    <xf numFmtId="0" fontId="0" fillId="0" borderId="17" xfId="0" applyBorder="1" applyAlignment="1">
      <alignment horizontal="center"/>
    </xf>
    <xf numFmtId="0" fontId="0" fillId="0" borderId="11" xfId="0" applyBorder="1" applyAlignment="1">
      <alignment horizontal="center"/>
    </xf>
    <xf numFmtId="0" fontId="0" fillId="0" borderId="14" xfId="0" applyBorder="1" applyAlignment="1">
      <alignment horizontal="center"/>
    </xf>
    <xf numFmtId="0" fontId="6" fillId="0" borderId="2" xfId="0" applyFont="1" applyBorder="1" applyAlignment="1">
      <alignment horizontal="center"/>
    </xf>
    <xf numFmtId="0" fontId="6" fillId="0" borderId="5" xfId="0" applyFont="1" applyFill="1" applyBorder="1" applyAlignment="1">
      <alignment horizontal="center"/>
    </xf>
    <xf numFmtId="0" fontId="35" fillId="0" borderId="0" xfId="0" applyNumberFormat="1" applyFont="1"/>
    <xf numFmtId="0" fontId="4" fillId="0" borderId="0" xfId="0" quotePrefix="1" applyFont="1" applyBorder="1" applyAlignment="1">
      <alignment horizontal="center" vertical="center"/>
    </xf>
    <xf numFmtId="0" fontId="0" fillId="0" borderId="0" xfId="0" applyBorder="1" applyAlignment="1">
      <alignment horizontal="center"/>
    </xf>
    <xf numFmtId="0" fontId="0" fillId="0" borderId="0" xfId="0" applyBorder="1" applyAlignment="1">
      <alignment horizontal="center" vertical="center"/>
    </xf>
    <xf numFmtId="0" fontId="0" fillId="0" borderId="0" xfId="0"/>
    <xf numFmtId="0" fontId="0" fillId="0" borderId="11" xfId="0" applyBorder="1" applyAlignment="1">
      <alignment horizontal="center"/>
    </xf>
    <xf numFmtId="0" fontId="0" fillId="0" borderId="4" xfId="0" applyBorder="1" applyAlignment="1">
      <alignment horizontal="center"/>
    </xf>
    <xf numFmtId="0" fontId="8" fillId="0" borderId="25" xfId="0" applyFont="1" applyBorder="1" applyAlignment="1"/>
    <xf numFmtId="0" fontId="0" fillId="0" borderId="25" xfId="0" applyBorder="1"/>
    <xf numFmtId="0" fontId="0" fillId="0" borderId="26" xfId="0" applyBorder="1"/>
    <xf numFmtId="0" fontId="0" fillId="0" borderId="27" xfId="0" applyBorder="1"/>
    <xf numFmtId="0" fontId="0" fillId="0" borderId="28" xfId="0" applyBorder="1"/>
    <xf numFmtId="0" fontId="0" fillId="0" borderId="27" xfId="0" applyBorder="1" applyAlignment="1">
      <alignment horizontal="right"/>
    </xf>
    <xf numFmtId="0" fontId="0" fillId="0" borderId="29" xfId="0" applyBorder="1"/>
    <xf numFmtId="0" fontId="0" fillId="0" borderId="30" xfId="0" applyBorder="1"/>
    <xf numFmtId="0" fontId="0" fillId="0" borderId="31" xfId="0" applyBorder="1"/>
    <xf numFmtId="0" fontId="0" fillId="0" borderId="32" xfId="0"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8" xfId="0" applyBorder="1" applyAlignment="1">
      <alignment horizontal="center"/>
    </xf>
    <xf numFmtId="0" fontId="0" fillId="0" borderId="39" xfId="0" applyBorder="1"/>
    <xf numFmtId="0" fontId="0" fillId="0" borderId="40" xfId="0" applyBorder="1"/>
    <xf numFmtId="0" fontId="0" fillId="0" borderId="41" xfId="0" applyBorder="1"/>
    <xf numFmtId="0" fontId="0" fillId="0" borderId="42" xfId="0" applyBorder="1"/>
    <xf numFmtId="0" fontId="0" fillId="0" borderId="44" xfId="0" applyBorder="1"/>
    <xf numFmtId="0" fontId="0" fillId="0" borderId="45" xfId="0" applyBorder="1"/>
    <xf numFmtId="0" fontId="0" fillId="0" borderId="46" xfId="0" applyBorder="1"/>
    <xf numFmtId="0" fontId="0" fillId="0" borderId="47" xfId="0" applyBorder="1"/>
    <xf numFmtId="0" fontId="0" fillId="0" borderId="47" xfId="0" applyBorder="1" applyAlignment="1">
      <alignment horizontal="right"/>
    </xf>
    <xf numFmtId="0" fontId="0" fillId="0" borderId="46" xfId="0" applyBorder="1" applyAlignment="1">
      <alignment vertical="center"/>
    </xf>
    <xf numFmtId="0" fontId="0" fillId="0" borderId="46" xfId="0" applyBorder="1" applyAlignment="1">
      <alignment horizontal="right"/>
    </xf>
    <xf numFmtId="0" fontId="0" fillId="0" borderId="47" xfId="0" applyBorder="1" applyAlignment="1"/>
    <xf numFmtId="0" fontId="0" fillId="0" borderId="48" xfId="0" applyBorder="1"/>
    <xf numFmtId="0" fontId="0" fillId="0" borderId="49" xfId="0" applyBorder="1"/>
    <xf numFmtId="0" fontId="0" fillId="0" borderId="50" xfId="0" applyBorder="1" applyAlignment="1">
      <alignment horizontal="center"/>
    </xf>
    <xf numFmtId="0" fontId="0" fillId="0" borderId="50" xfId="0" applyBorder="1"/>
    <xf numFmtId="0" fontId="0" fillId="0" borderId="51" xfId="0" applyBorder="1"/>
    <xf numFmtId="0" fontId="7" fillId="0" borderId="0" xfId="0" applyFont="1" applyBorder="1" applyAlignment="1"/>
    <xf numFmtId="0" fontId="0" fillId="0" borderId="0" xfId="0" quotePrefix="1" applyBorder="1"/>
    <xf numFmtId="0" fontId="16" fillId="0" borderId="0" xfId="8" applyBorder="1"/>
    <xf numFmtId="49" fontId="0" fillId="0" borderId="0" xfId="0" applyNumberFormat="1" applyBorder="1"/>
    <xf numFmtId="0" fontId="1" fillId="2" borderId="0" xfId="1" applyBorder="1" applyAlignment="1">
      <alignment horizontal="center"/>
    </xf>
    <xf numFmtId="0" fontId="1" fillId="3" borderId="0" xfId="2" applyBorder="1" applyAlignment="1">
      <alignment horizontal="center"/>
    </xf>
    <xf numFmtId="0" fontId="0" fillId="0" borderId="53" xfId="0" applyBorder="1"/>
    <xf numFmtId="0" fontId="0" fillId="0" borderId="54" xfId="0" applyBorder="1"/>
    <xf numFmtId="0" fontId="0" fillId="0" borderId="55" xfId="0" applyBorder="1"/>
    <xf numFmtId="0" fontId="0" fillId="0" borderId="56" xfId="0" applyBorder="1"/>
    <xf numFmtId="0" fontId="0" fillId="0" borderId="58" xfId="0" applyBorder="1"/>
    <xf numFmtId="0" fontId="0" fillId="0" borderId="59" xfId="0" applyBorder="1"/>
    <xf numFmtId="0" fontId="0" fillId="0" borderId="61" xfId="0" applyBorder="1"/>
    <xf numFmtId="0" fontId="0" fillId="0" borderId="62" xfId="0" applyBorder="1"/>
    <xf numFmtId="0" fontId="0" fillId="0" borderId="63" xfId="0" applyBorder="1"/>
    <xf numFmtId="0" fontId="0" fillId="0" borderId="64" xfId="0" applyBorder="1"/>
    <xf numFmtId="0" fontId="14" fillId="0" borderId="63" xfId="0" applyFont="1" applyBorder="1" applyAlignment="1">
      <alignment horizontal="center"/>
    </xf>
    <xf numFmtId="0" fontId="0" fillId="0" borderId="65" xfId="0" applyBorder="1"/>
    <xf numFmtId="0" fontId="0" fillId="0" borderId="66" xfId="0" applyBorder="1"/>
    <xf numFmtId="0" fontId="0" fillId="0" borderId="67" xfId="0" applyBorder="1" applyAlignment="1">
      <alignment horizontal="center"/>
    </xf>
    <xf numFmtId="0" fontId="0" fillId="0" borderId="69" xfId="0" applyBorder="1"/>
    <xf numFmtId="0" fontId="0" fillId="0" borderId="70" xfId="0" applyBorder="1"/>
    <xf numFmtId="0" fontId="0" fillId="0" borderId="71" xfId="0" applyBorder="1"/>
    <xf numFmtId="0" fontId="0" fillId="0" borderId="72" xfId="0" applyBorder="1"/>
    <xf numFmtId="0" fontId="8" fillId="0" borderId="73" xfId="0" applyFont="1" applyBorder="1" applyAlignment="1">
      <alignment horizontal="center"/>
    </xf>
    <xf numFmtId="0" fontId="0" fillId="0" borderId="73" xfId="0" applyBorder="1"/>
    <xf numFmtId="0" fontId="7" fillId="0" borderId="71" xfId="0" applyFont="1" applyBorder="1" applyAlignment="1">
      <alignment horizontal="center"/>
    </xf>
    <xf numFmtId="0" fontId="0" fillId="0" borderId="71" xfId="0" applyBorder="1" applyAlignment="1">
      <alignment horizontal="right"/>
    </xf>
    <xf numFmtId="0" fontId="0" fillId="0" borderId="71" xfId="0" applyBorder="1" applyAlignment="1">
      <alignment horizontal="center"/>
    </xf>
    <xf numFmtId="0" fontId="0" fillId="0" borderId="71" xfId="0" applyBorder="1" applyAlignment="1">
      <alignment vertical="center"/>
    </xf>
    <xf numFmtId="0" fontId="0" fillId="0" borderId="72" xfId="0" applyBorder="1" applyAlignment="1">
      <alignment horizontal="center"/>
    </xf>
    <xf numFmtId="0" fontId="0" fillId="0" borderId="74" xfId="0" applyBorder="1"/>
    <xf numFmtId="0" fontId="0" fillId="0" borderId="75" xfId="0" applyBorder="1"/>
    <xf numFmtId="0" fontId="0" fillId="0" borderId="76" xfId="0" applyBorder="1"/>
    <xf numFmtId="0" fontId="0" fillId="0" borderId="78" xfId="0" applyBorder="1"/>
    <xf numFmtId="0" fontId="0" fillId="0" borderId="79" xfId="0" applyBorder="1"/>
    <xf numFmtId="0" fontId="0" fillId="0" borderId="80" xfId="0" applyBorder="1"/>
    <xf numFmtId="0" fontId="0" fillId="0" borderId="81" xfId="0" applyBorder="1" applyAlignment="1">
      <alignment horizontal="center"/>
    </xf>
    <xf numFmtId="0" fontId="0" fillId="0" borderId="80" xfId="0" applyBorder="1" applyAlignment="1">
      <alignment horizontal="right"/>
    </xf>
    <xf numFmtId="0" fontId="0" fillId="0" borderId="82" xfId="0" applyBorder="1" applyAlignment="1">
      <alignment horizontal="right"/>
    </xf>
    <xf numFmtId="0" fontId="0" fillId="0" borderId="83" xfId="0" applyBorder="1" applyAlignment="1">
      <alignment horizontal="center"/>
    </xf>
    <xf numFmtId="0" fontId="0" fillId="0" borderId="84" xfId="0" applyBorder="1" applyAlignment="1">
      <alignment horizontal="center"/>
    </xf>
    <xf numFmtId="0" fontId="31" fillId="11" borderId="60" xfId="9" applyFont="1" applyBorder="1" applyAlignment="1">
      <alignment horizontal="center"/>
    </xf>
    <xf numFmtId="0" fontId="0" fillId="0" borderId="67" xfId="0" applyBorder="1"/>
    <xf numFmtId="0" fontId="0" fillId="0" borderId="68" xfId="0" applyBorder="1"/>
    <xf numFmtId="0" fontId="31" fillId="11" borderId="33" xfId="9" applyFont="1" applyBorder="1" applyAlignment="1">
      <alignment horizontal="center"/>
    </xf>
    <xf numFmtId="0" fontId="31" fillId="11" borderId="85" xfId="9" applyFont="1" applyBorder="1" applyAlignment="1">
      <alignment horizontal="center"/>
    </xf>
    <xf numFmtId="0" fontId="0" fillId="0" borderId="86" xfId="0" applyBorder="1"/>
    <xf numFmtId="0" fontId="0" fillId="0" borderId="86" xfId="0" applyBorder="1" applyAlignment="1">
      <alignment horizontal="center"/>
    </xf>
    <xf numFmtId="0" fontId="0" fillId="0" borderId="87" xfId="0" applyBorder="1"/>
    <xf numFmtId="0" fontId="0" fillId="0" borderId="88" xfId="0" applyBorder="1"/>
    <xf numFmtId="0" fontId="0" fillId="0" borderId="89" xfId="0" applyBorder="1"/>
    <xf numFmtId="0" fontId="0" fillId="0" borderId="88" xfId="0" applyBorder="1" applyAlignment="1">
      <alignment horizontal="right"/>
    </xf>
    <xf numFmtId="0" fontId="0" fillId="0" borderId="90" xfId="0" applyBorder="1"/>
    <xf numFmtId="0" fontId="0" fillId="0" borderId="91" xfId="0" applyBorder="1"/>
    <xf numFmtId="0" fontId="0" fillId="0" borderId="92" xfId="0" applyBorder="1"/>
    <xf numFmtId="0" fontId="0" fillId="0" borderId="93" xfId="0" applyBorder="1"/>
    <xf numFmtId="0" fontId="0" fillId="0" borderId="94" xfId="0" applyBorder="1"/>
    <xf numFmtId="0" fontId="18" fillId="0" borderId="0" xfId="0" applyFont="1" applyBorder="1"/>
    <xf numFmtId="0" fontId="31" fillId="11" borderId="95" xfId="9" applyFont="1" applyBorder="1" applyAlignment="1">
      <alignment horizontal="center"/>
    </xf>
    <xf numFmtId="0" fontId="0" fillId="0" borderId="96" xfId="0" applyBorder="1"/>
    <xf numFmtId="0" fontId="0" fillId="0" borderId="97" xfId="0" applyBorder="1"/>
    <xf numFmtId="0" fontId="0" fillId="0" borderId="98" xfId="0" applyBorder="1"/>
    <xf numFmtId="0" fontId="0" fillId="0" borderId="99" xfId="0" applyBorder="1"/>
    <xf numFmtId="0" fontId="0" fillId="0" borderId="99" xfId="0" applyBorder="1" applyAlignment="1">
      <alignment horizontal="right"/>
    </xf>
    <xf numFmtId="0" fontId="0" fillId="0" borderId="98" xfId="0" applyBorder="1" applyAlignment="1">
      <alignment vertical="center"/>
    </xf>
    <xf numFmtId="0" fontId="0" fillId="0" borderId="98" xfId="0" applyBorder="1" applyAlignment="1">
      <alignment horizontal="right"/>
    </xf>
    <xf numFmtId="0" fontId="0" fillId="0" borderId="99" xfId="0" applyBorder="1" applyAlignment="1"/>
    <xf numFmtId="0" fontId="0" fillId="0" borderId="100" xfId="0" applyBorder="1"/>
    <xf numFmtId="0" fontId="0" fillId="0" borderId="101" xfId="0" applyBorder="1"/>
    <xf numFmtId="0" fontId="0" fillId="0" borderId="102" xfId="0" applyBorder="1"/>
    <xf numFmtId="0" fontId="0" fillId="0" borderId="103" xfId="0" applyBorder="1"/>
    <xf numFmtId="0" fontId="0" fillId="0" borderId="104" xfId="0" applyBorder="1"/>
    <xf numFmtId="0" fontId="31" fillId="11" borderId="24" xfId="9" applyFont="1" applyBorder="1" applyAlignment="1">
      <alignment horizontal="center"/>
    </xf>
    <xf numFmtId="0" fontId="11" fillId="7" borderId="12" xfId="6" applyBorder="1" applyAlignment="1">
      <alignment horizontal="center"/>
    </xf>
    <xf numFmtId="0" fontId="0" fillId="0" borderId="20" xfId="0" applyBorder="1"/>
    <xf numFmtId="0" fontId="0" fillId="0" borderId="105" xfId="0" applyBorder="1"/>
    <xf numFmtId="0" fontId="0" fillId="0" borderId="0" xfId="0" applyAlignment="1">
      <alignment horizontal="center"/>
    </xf>
    <xf numFmtId="0" fontId="14" fillId="0" borderId="0" xfId="0" applyFont="1" applyAlignment="1">
      <alignment horizontal="center"/>
    </xf>
    <xf numFmtId="0" fontId="0" fillId="0" borderId="1" xfId="0" applyBorder="1" applyAlignment="1">
      <alignment horizontal="center"/>
    </xf>
    <xf numFmtId="0" fontId="0" fillId="0" borderId="0" xfId="0" applyBorder="1" applyAlignment="1">
      <alignment horizontal="center"/>
    </xf>
    <xf numFmtId="0" fontId="15" fillId="0" borderId="0" xfId="0" applyFont="1" applyAlignment="1">
      <alignment horizontal="center" vertical="center" wrapText="1"/>
    </xf>
    <xf numFmtId="0" fontId="0" fillId="0" borderId="2" xfId="0" applyBorder="1" applyAlignment="1">
      <alignment horizontal="center" vertical="center"/>
    </xf>
    <xf numFmtId="0" fontId="0" fillId="0" borderId="0" xfId="0" applyBorder="1" applyAlignment="1">
      <alignment horizontal="center" vertical="center"/>
    </xf>
    <xf numFmtId="0" fontId="0" fillId="0" borderId="0" xfId="0"/>
    <xf numFmtId="0" fontId="0" fillId="0" borderId="4" xfId="0" applyBorder="1" applyAlignment="1">
      <alignment horizontal="center"/>
    </xf>
    <xf numFmtId="0" fontId="0" fillId="0" borderId="17" xfId="0" applyBorder="1" applyAlignment="1">
      <alignment horizontal="center"/>
    </xf>
    <xf numFmtId="0" fontId="31" fillId="11" borderId="106" xfId="9" applyFont="1" applyBorder="1" applyAlignment="1">
      <alignment horizontal="center"/>
    </xf>
    <xf numFmtId="0" fontId="14" fillId="0" borderId="0" xfId="0" applyFont="1" applyBorder="1" applyAlignment="1">
      <alignment horizontal="center"/>
    </xf>
    <xf numFmtId="0" fontId="0" fillId="0" borderId="109" xfId="0" applyBorder="1"/>
    <xf numFmtId="0" fontId="0" fillId="0" borderId="110" xfId="0" applyBorder="1"/>
    <xf numFmtId="0" fontId="31" fillId="11" borderId="43" xfId="9" applyFont="1" applyBorder="1" applyAlignment="1">
      <alignment horizontal="center"/>
    </xf>
    <xf numFmtId="0" fontId="0" fillId="0" borderId="111" xfId="0" applyBorder="1"/>
    <xf numFmtId="0" fontId="0" fillId="0" borderId="112" xfId="0" applyBorder="1" applyAlignment="1">
      <alignment horizontal="center" vertical="center"/>
    </xf>
    <xf numFmtId="0" fontId="0" fillId="0" borderId="111" xfId="0" applyBorder="1" applyAlignment="1">
      <alignment horizontal="center"/>
    </xf>
    <xf numFmtId="0" fontId="0" fillId="0" borderId="113" xfId="0" applyBorder="1" applyAlignment="1">
      <alignment horizontal="center"/>
    </xf>
    <xf numFmtId="0" fontId="0" fillId="0" borderId="114" xfId="0" applyBorder="1" applyAlignment="1">
      <alignment horizontal="center"/>
    </xf>
    <xf numFmtId="0" fontId="0" fillId="0" borderId="115" xfId="0" applyBorder="1" applyAlignment="1">
      <alignment horizontal="center"/>
    </xf>
    <xf numFmtId="0" fontId="0" fillId="0" borderId="116" xfId="0" applyBorder="1"/>
    <xf numFmtId="0" fontId="0" fillId="0" borderId="117" xfId="0" applyBorder="1"/>
    <xf numFmtId="0" fontId="0" fillId="0" borderId="112" xfId="0" applyBorder="1"/>
    <xf numFmtId="0" fontId="6" fillId="0" borderId="0" xfId="0" applyFont="1" applyBorder="1"/>
    <xf numFmtId="0" fontId="0" fillId="0" borderId="113" xfId="0" applyBorder="1"/>
    <xf numFmtId="0" fontId="0" fillId="0" borderId="115" xfId="0" applyBorder="1"/>
    <xf numFmtId="0" fontId="6" fillId="0" borderId="116" xfId="0" applyFont="1" applyBorder="1"/>
    <xf numFmtId="0" fontId="0" fillId="0" borderId="113" xfId="0" applyBorder="1" applyAlignment="1"/>
    <xf numFmtId="0" fontId="8" fillId="0" borderId="55" xfId="0" applyFont="1" applyBorder="1" applyAlignment="1">
      <alignment horizontal="center"/>
    </xf>
    <xf numFmtId="0" fontId="6" fillId="0" borderId="55" xfId="0" applyFont="1" applyBorder="1"/>
    <xf numFmtId="0" fontId="8" fillId="0" borderId="55" xfId="0" applyFont="1" applyBorder="1" applyAlignment="1">
      <alignment horizontal="right"/>
    </xf>
    <xf numFmtId="0" fontId="14" fillId="0" borderId="57" xfId="0" applyFont="1" applyBorder="1" applyAlignment="1">
      <alignment horizontal="right"/>
    </xf>
    <xf numFmtId="0" fontId="20" fillId="0" borderId="53" xfId="0" applyFont="1" applyBorder="1" applyAlignment="1"/>
    <xf numFmtId="0" fontId="14" fillId="0" borderId="55" xfId="0" applyFont="1" applyBorder="1" applyAlignment="1">
      <alignment horizontal="center"/>
    </xf>
    <xf numFmtId="0" fontId="14" fillId="0" borderId="105" xfId="0" applyFont="1" applyBorder="1" applyAlignment="1">
      <alignment horizontal="center"/>
    </xf>
    <xf numFmtId="0" fontId="0" fillId="0" borderId="57" xfId="0" applyBorder="1"/>
    <xf numFmtId="0" fontId="0" fillId="0" borderId="58" xfId="0" applyBorder="1" applyAlignment="1">
      <alignment horizontal="center" vertical="center"/>
    </xf>
    <xf numFmtId="0" fontId="9" fillId="0" borderId="63" xfId="0" applyFont="1" applyBorder="1" applyAlignment="1">
      <alignment horizontal="center"/>
    </xf>
    <xf numFmtId="0" fontId="8" fillId="0" borderId="63" xfId="0" applyFont="1" applyBorder="1"/>
    <xf numFmtId="0" fontId="19" fillId="0" borderId="66" xfId="0" applyFont="1" applyBorder="1" applyAlignment="1">
      <alignment horizontal="right"/>
    </xf>
    <xf numFmtId="0" fontId="39" fillId="11" borderId="52" xfId="9" applyFont="1" applyBorder="1" applyAlignment="1">
      <alignment horizontal="center"/>
    </xf>
    <xf numFmtId="0" fontId="38" fillId="11" borderId="77" xfId="9" applyFont="1" applyBorder="1" applyAlignment="1">
      <alignment horizontal="center"/>
    </xf>
    <xf numFmtId="0" fontId="38" fillId="11" borderId="60" xfId="9" applyFont="1" applyBorder="1" applyAlignment="1">
      <alignment horizontal="center"/>
    </xf>
    <xf numFmtId="0" fontId="0" fillId="0" borderId="81" xfId="0" applyBorder="1"/>
    <xf numFmtId="0" fontId="38" fillId="11" borderId="55" xfId="9" applyFont="1" applyBorder="1" applyAlignment="1">
      <alignment horizontal="center"/>
    </xf>
    <xf numFmtId="0" fontId="6" fillId="0" borderId="118" xfId="0" applyFont="1" applyBorder="1"/>
    <xf numFmtId="0" fontId="0" fillId="0" borderId="118" xfId="0" applyBorder="1" applyAlignment="1">
      <alignment horizontal="center" vertical="center"/>
    </xf>
    <xf numFmtId="0" fontId="0" fillId="0" borderId="118" xfId="0" applyBorder="1"/>
    <xf numFmtId="0" fontId="0" fillId="0" borderId="0" xfId="0" applyBorder="1" applyAlignment="1">
      <alignment horizontal="center"/>
    </xf>
    <xf numFmtId="0" fontId="0" fillId="0" borderId="0" xfId="0"/>
    <xf numFmtId="0" fontId="5" fillId="6" borderId="16" xfId="5" applyBorder="1" applyAlignment="1" applyProtection="1">
      <alignment horizontal="center"/>
      <protection locked="0"/>
    </xf>
    <xf numFmtId="0" fontId="5" fillId="6" borderId="0" xfId="5" applyAlignment="1" applyProtection="1">
      <alignment horizontal="center"/>
      <protection locked="0"/>
    </xf>
    <xf numFmtId="0" fontId="1" fillId="4" borderId="5" xfId="3" applyBorder="1" applyAlignment="1">
      <alignment horizontal="center"/>
    </xf>
    <xf numFmtId="0" fontId="8" fillId="0" borderId="2" xfId="0" applyFont="1" applyBorder="1" applyAlignment="1">
      <alignment horizontal="center" vertical="center"/>
    </xf>
    <xf numFmtId="0" fontId="0" fillId="0" borderId="0" xfId="0" applyBorder="1" applyAlignment="1">
      <alignment horizontal="center"/>
    </xf>
    <xf numFmtId="0" fontId="0" fillId="0" borderId="23" xfId="0" applyBorder="1" applyAlignment="1">
      <alignment horizontal="center"/>
    </xf>
    <xf numFmtId="0" fontId="0" fillId="0" borderId="0" xfId="0" applyBorder="1" applyAlignment="1">
      <alignment horizontal="center"/>
    </xf>
    <xf numFmtId="0" fontId="0" fillId="0" borderId="11" xfId="0" applyBorder="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1" fillId="0" borderId="0" xfId="0" applyFont="1" applyAlignment="1">
      <alignment horizontal="center"/>
    </xf>
    <xf numFmtId="0" fontId="41" fillId="0" borderId="0" xfId="0" applyFont="1" applyAlignment="1">
      <alignment horizontal="center" vertical="center"/>
    </xf>
    <xf numFmtId="0" fontId="0" fillId="0" borderId="0" xfId="0" applyAlignment="1">
      <alignment horizontal="center"/>
    </xf>
    <xf numFmtId="0" fontId="0" fillId="0" borderId="0" xfId="0" applyBorder="1" applyAlignment="1">
      <alignment horizontal="center"/>
    </xf>
    <xf numFmtId="0" fontId="0" fillId="0" borderId="0" xfId="0"/>
    <xf numFmtId="0" fontId="42" fillId="0" borderId="0" xfId="0" applyFont="1" applyAlignment="1">
      <alignment horizontal="center"/>
    </xf>
    <xf numFmtId="0" fontId="29" fillId="11" borderId="0" xfId="9" applyFont="1" applyAlignment="1">
      <alignment horizontal="center" vertical="center"/>
    </xf>
    <xf numFmtId="0" fontId="26" fillId="6" borderId="0" xfId="5" applyFont="1" applyAlignment="1">
      <alignment horizontal="center" vertical="center"/>
    </xf>
    <xf numFmtId="0" fontId="6" fillId="0" borderId="0" xfId="0" applyFont="1" applyAlignment="1">
      <alignment horizontal="left" vertical="center"/>
    </xf>
    <xf numFmtId="0" fontId="0" fillId="0" borderId="0" xfId="0" applyBorder="1" applyAlignment="1">
      <alignment horizontal="center" vertical="center"/>
    </xf>
    <xf numFmtId="0" fontId="0" fillId="0" borderId="1" xfId="0" applyBorder="1" applyAlignment="1">
      <alignment horizontal="center"/>
    </xf>
    <xf numFmtId="0" fontId="27" fillId="6" borderId="0" xfId="5" applyFont="1" applyBorder="1" applyAlignment="1" applyProtection="1">
      <alignment horizontal="center"/>
      <protection locked="0"/>
    </xf>
    <xf numFmtId="0" fontId="0" fillId="0" borderId="0" xfId="0" applyBorder="1" applyAlignment="1">
      <alignment horizontal="center"/>
    </xf>
    <xf numFmtId="0" fontId="0" fillId="0" borderId="0" xfId="0" applyAlignment="1">
      <alignment horizontal="center"/>
    </xf>
    <xf numFmtId="0" fontId="1" fillId="2" borderId="6" xfId="1" applyBorder="1" applyAlignment="1">
      <alignment horizontal="center"/>
    </xf>
    <xf numFmtId="0" fontId="1" fillId="2" borderId="1" xfId="1" applyBorder="1" applyAlignment="1">
      <alignment horizontal="center"/>
    </xf>
    <xf numFmtId="0" fontId="1" fillId="2" borderId="7" xfId="1" applyBorder="1" applyAlignment="1">
      <alignment horizontal="center"/>
    </xf>
    <xf numFmtId="0" fontId="1" fillId="3" borderId="6" xfId="2" applyBorder="1" applyAlignment="1">
      <alignment horizontal="center"/>
    </xf>
    <xf numFmtId="0" fontId="1" fillId="3" borderId="1" xfId="2" applyBorder="1" applyAlignment="1">
      <alignment horizontal="center"/>
    </xf>
    <xf numFmtId="0" fontId="1" fillId="3" borderId="7" xfId="2" applyBorder="1" applyAlignment="1">
      <alignment horizontal="center"/>
    </xf>
    <xf numFmtId="0" fontId="1" fillId="4" borderId="6" xfId="3" applyBorder="1" applyAlignment="1">
      <alignment horizontal="center"/>
    </xf>
    <xf numFmtId="0" fontId="1" fillId="4" borderId="1" xfId="3" applyBorder="1" applyAlignment="1">
      <alignment horizontal="center"/>
    </xf>
    <xf numFmtId="0" fontId="1" fillId="4" borderId="7" xfId="3" applyBorder="1" applyAlignment="1">
      <alignment horizontal="center"/>
    </xf>
    <xf numFmtId="0" fontId="1" fillId="5" borderId="6" xfId="4" applyBorder="1" applyAlignment="1">
      <alignment horizontal="center"/>
    </xf>
    <xf numFmtId="0" fontId="1" fillId="5" borderId="1" xfId="4" applyBorder="1" applyAlignment="1">
      <alignment horizontal="center"/>
    </xf>
    <xf numFmtId="0" fontId="1" fillId="5" borderId="7" xfId="4" applyBorder="1" applyAlignment="1">
      <alignment horizontal="center"/>
    </xf>
    <xf numFmtId="0" fontId="9" fillId="0" borderId="0" xfId="0" applyFont="1" applyBorder="1" applyAlignment="1">
      <alignment horizontal="center"/>
    </xf>
    <xf numFmtId="0" fontId="20" fillId="0" borderId="0" xfId="0" applyFont="1" applyAlignment="1">
      <alignment horizontal="center"/>
    </xf>
    <xf numFmtId="0" fontId="15" fillId="0" borderId="0" xfId="0" applyFont="1" applyAlignment="1">
      <alignment horizontal="center" vertical="center" wrapText="1"/>
    </xf>
    <xf numFmtId="0" fontId="0" fillId="0" borderId="2" xfId="0" applyBorder="1" applyAlignment="1">
      <alignment horizontal="center" vertical="center"/>
    </xf>
    <xf numFmtId="0" fontId="14" fillId="0" borderId="0" xfId="0" applyFont="1" applyAlignment="1">
      <alignment horizontal="center"/>
    </xf>
    <xf numFmtId="0" fontId="0" fillId="0" borderId="20" xfId="0" applyBorder="1" applyAlignment="1">
      <alignment horizontal="center"/>
    </xf>
    <xf numFmtId="0" fontId="4" fillId="0" borderId="0" xfId="0" applyFont="1" applyBorder="1" applyAlignment="1">
      <alignment horizontal="center" vertical="center"/>
    </xf>
    <xf numFmtId="0" fontId="4" fillId="0" borderId="0" xfId="0" applyFont="1" applyAlignment="1">
      <alignment horizontal="center"/>
    </xf>
    <xf numFmtId="0" fontId="0" fillId="0" borderId="0" xfId="0"/>
    <xf numFmtId="0" fontId="0" fillId="0" borderId="107" xfId="0" applyBorder="1" applyAlignment="1">
      <alignment horizontal="center"/>
    </xf>
    <xf numFmtId="0" fontId="0" fillId="0" borderId="108" xfId="0" applyBorder="1" applyAlignment="1">
      <alignment horizontal="center"/>
    </xf>
    <xf numFmtId="0" fontId="0" fillId="0" borderId="14" xfId="0" applyBorder="1" applyAlignment="1">
      <alignment horizontal="center"/>
    </xf>
    <xf numFmtId="0" fontId="0" fillId="0" borderId="17" xfId="0" applyBorder="1" applyAlignment="1">
      <alignment horizontal="center"/>
    </xf>
    <xf numFmtId="0" fontId="0" fillId="0" borderId="11" xfId="0" applyBorder="1" applyAlignment="1">
      <alignment horizontal="center"/>
    </xf>
    <xf numFmtId="0" fontId="9" fillId="0" borderId="53" xfId="0" applyFont="1" applyBorder="1" applyAlignment="1">
      <alignment horizontal="center"/>
    </xf>
    <xf numFmtId="0" fontId="19" fillId="0" borderId="53" xfId="0" applyFont="1" applyBorder="1" applyAlignment="1">
      <alignment horizontal="center"/>
    </xf>
    <xf numFmtId="0" fontId="20" fillId="0" borderId="53" xfId="0" applyFont="1" applyBorder="1" applyAlignment="1">
      <alignment horizontal="center"/>
    </xf>
    <xf numFmtId="0" fontId="0" fillId="0" borderId="23" xfId="0" applyBorder="1" applyAlignment="1">
      <alignment horizontal="center"/>
    </xf>
    <xf numFmtId="0" fontId="0" fillId="0" borderId="46" xfId="0" applyBorder="1" applyAlignment="1">
      <alignment horizontal="right" vertical="center"/>
    </xf>
    <xf numFmtId="0" fontId="0" fillId="0" borderId="10" xfId="0" applyBorder="1" applyAlignment="1">
      <alignment horizontal="center"/>
    </xf>
    <xf numFmtId="0" fontId="15" fillId="0" borderId="71" xfId="0" applyFont="1" applyBorder="1" applyAlignment="1">
      <alignment horizontal="center" vertical="center" wrapText="1"/>
    </xf>
    <xf numFmtId="0" fontId="20" fillId="0" borderId="67" xfId="0" applyFont="1" applyBorder="1" applyAlignment="1">
      <alignment horizontal="center"/>
    </xf>
    <xf numFmtId="0" fontId="0" fillId="0" borderId="4" xfId="0" applyBorder="1" applyAlignment="1">
      <alignment horizontal="center"/>
    </xf>
    <xf numFmtId="0" fontId="31" fillId="11" borderId="119" xfId="9" applyFont="1" applyBorder="1" applyAlignment="1">
      <alignment horizontal="center" vertical="center"/>
    </xf>
    <xf numFmtId="0" fontId="20" fillId="0" borderId="61" xfId="0" applyFont="1" applyBorder="1" applyAlignment="1">
      <alignment horizontal="center"/>
    </xf>
    <xf numFmtId="0" fontId="9" fillId="0" borderId="61" xfId="0" applyFont="1" applyBorder="1" applyAlignment="1">
      <alignment horizontal="center"/>
    </xf>
    <xf numFmtId="0" fontId="19" fillId="0" borderId="0" xfId="0" applyFont="1" applyBorder="1" applyAlignment="1">
      <alignment horizontal="center"/>
    </xf>
    <xf numFmtId="0" fontId="0" fillId="0" borderId="98" xfId="0" applyBorder="1" applyAlignment="1">
      <alignment horizontal="right" vertical="center"/>
    </xf>
    <xf numFmtId="0" fontId="4" fillId="0" borderId="0" xfId="0" applyFont="1" applyBorder="1" applyAlignment="1">
      <alignment horizontal="center"/>
    </xf>
    <xf numFmtId="49" fontId="0" fillId="0" borderId="15" xfId="0" applyNumberFormat="1" applyBorder="1" applyAlignment="1">
      <alignment horizontal="center"/>
    </xf>
    <xf numFmtId="49" fontId="0" fillId="0" borderId="11" xfId="0" applyNumberFormat="1" applyBorder="1" applyAlignment="1">
      <alignment horizontal="center"/>
    </xf>
    <xf numFmtId="49" fontId="37" fillId="11" borderId="0" xfId="9" applyNumberFormat="1" applyFont="1" applyAlignment="1">
      <alignment horizontal="center"/>
    </xf>
    <xf numFmtId="0" fontId="33" fillId="11" borderId="0" xfId="9" applyFont="1" applyAlignment="1">
      <alignment horizontal="center" vertical="center"/>
    </xf>
    <xf numFmtId="0" fontId="21" fillId="11" borderId="0" xfId="9" applyAlignment="1">
      <alignment horizontal="center" vertical="center"/>
    </xf>
    <xf numFmtId="0" fontId="4" fillId="0" borderId="0" xfId="0" applyFont="1" applyAlignment="1">
      <alignment horizontal="right" vertical="center" indent="8"/>
    </xf>
    <xf numFmtId="0" fontId="15" fillId="0" borderId="0" xfId="0" applyFont="1" applyAlignment="1">
      <alignment horizontal="center"/>
    </xf>
    <xf numFmtId="0" fontId="15" fillId="0" borderId="0" xfId="0" applyFont="1" applyBorder="1" applyAlignment="1">
      <alignment horizontal="center" vertical="center"/>
    </xf>
    <xf numFmtId="0" fontId="21" fillId="11" borderId="0" xfId="9" applyAlignment="1">
      <alignment horizontal="right" vertical="center"/>
    </xf>
    <xf numFmtId="49" fontId="33" fillId="11" borderId="0" xfId="9" applyNumberFormat="1" applyFont="1" applyAlignment="1">
      <alignment horizontal="center" vertical="center"/>
    </xf>
    <xf numFmtId="0" fontId="36" fillId="0" borderId="0" xfId="0" applyFont="1" applyAlignment="1">
      <alignment horizontal="center" vertical="center"/>
    </xf>
    <xf numFmtId="0" fontId="28" fillId="0" borderId="0" xfId="0" applyFont="1" applyAlignment="1">
      <alignment horizontal="left" vertical="center"/>
    </xf>
    <xf numFmtId="0" fontId="0" fillId="0" borderId="21" xfId="0" applyBorder="1" applyAlignment="1">
      <alignment horizontal="right"/>
    </xf>
    <xf numFmtId="0" fontId="0" fillId="0" borderId="8" xfId="0" applyBorder="1" applyAlignment="1">
      <alignment horizontal="center" vertical="center"/>
    </xf>
    <xf numFmtId="0" fontId="0" fillId="0" borderId="7" xfId="0" applyBorder="1" applyAlignment="1">
      <alignment horizontal="center" vertical="center"/>
    </xf>
    <xf numFmtId="0" fontId="6" fillId="0" borderId="0" xfId="0" applyFont="1" applyAlignment="1">
      <alignment horizontal="left" vertical="top" wrapText="1"/>
    </xf>
    <xf numFmtId="0" fontId="44" fillId="0" borderId="0" xfId="0" applyFont="1" applyAlignment="1">
      <alignment horizontal="center" vertical="center"/>
    </xf>
    <xf numFmtId="0" fontId="45" fillId="0" borderId="0" xfId="0" applyFont="1" applyAlignment="1">
      <alignment horizontal="center" vertical="center"/>
    </xf>
    <xf numFmtId="0" fontId="4" fillId="0" borderId="0" xfId="0" applyFont="1" applyAlignment="1">
      <alignment horizontal="right" indent="4"/>
    </xf>
    <xf numFmtId="49" fontId="37" fillId="11" borderId="0" xfId="9" applyNumberFormat="1" applyFont="1" applyAlignment="1">
      <alignment horizontal="center" vertical="center"/>
    </xf>
  </cellXfs>
  <cellStyles count="11">
    <cellStyle name="40% - Accent3" xfId="7" builtinId="39"/>
    <cellStyle name="60% - Accent1" xfId="1" builtinId="32"/>
    <cellStyle name="60% - Accent2" xfId="2" builtinId="36"/>
    <cellStyle name="60% - Accent3" xfId="3" builtinId="40"/>
    <cellStyle name="60% - Accent4" xfId="4" builtinId="44"/>
    <cellStyle name="Background_1" xfId="10" xr:uid="{B62B3E93-C9A6-4B07-BC92-82F1D62944AA}"/>
    <cellStyle name="Good" xfId="5" builtinId="26"/>
    <cellStyle name="Hyperlink" xfId="8" builtinId="8"/>
    <cellStyle name="Input" xfId="6" builtinId="20"/>
    <cellStyle name="Neutral" xfId="9" builtinId="28"/>
    <cellStyle name="Normal" xfId="0" builtinId="0"/>
  </cellStyles>
  <dxfs count="3">
    <dxf>
      <font>
        <color theme="5"/>
      </font>
      <fill>
        <patternFill>
          <bgColor rgb="FFE1E11F"/>
        </patternFill>
      </fill>
    </dxf>
    <dxf>
      <font>
        <color theme="9" tint="-0.24994659260841701"/>
      </font>
      <fill>
        <patternFill>
          <bgColor rgb="FFA6EEB4"/>
        </patternFill>
      </fill>
    </dxf>
    <dxf>
      <font>
        <color rgb="FFFF0000"/>
      </font>
      <fill>
        <patternFill>
          <bgColor rgb="FFFF7979"/>
        </patternFill>
      </fill>
    </dxf>
  </dxfs>
  <tableStyles count="0" defaultTableStyle="TableStyleMedium2" defaultPivotStyle="PivotStyleLight16"/>
  <colors>
    <mruColors>
      <color rgb="FFFF7979"/>
      <color rgb="FFFF0000"/>
      <color rgb="FFFF5353"/>
      <color rgb="FFE1E11F"/>
      <color rgb="FFA6EEB4"/>
      <color rgb="FF6A2CC4"/>
      <color rgb="FF0000FF"/>
      <color rgb="FF969696"/>
      <color rgb="FFE60ADC"/>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2.xml"/></Relationships>
</file>

<file path=xl/drawings/_rels/drawing3.xml.rels><?xml version="1.0" encoding="UTF-8" standalone="yes"?>
<Relationships xmlns="http://schemas.openxmlformats.org/package/2006/relationships"><Relationship Id="rId8" Type="http://schemas.openxmlformats.org/officeDocument/2006/relationships/customXml" Target="../ink/ink7.xml"/><Relationship Id="rId3" Type="http://schemas.openxmlformats.org/officeDocument/2006/relationships/customXml" Target="../ink/ink4.xml"/><Relationship Id="rId7" Type="http://schemas.openxmlformats.org/officeDocument/2006/relationships/image" Target="../media/image3.png"/><Relationship Id="rId2" Type="http://schemas.openxmlformats.org/officeDocument/2006/relationships/image" Target="../media/image10.png"/><Relationship Id="rId1" Type="http://schemas.openxmlformats.org/officeDocument/2006/relationships/customXml" Target="../ink/ink3.xml"/><Relationship Id="rId6" Type="http://schemas.openxmlformats.org/officeDocument/2006/relationships/customXml" Target="../ink/ink6.xml"/><Relationship Id="rId5" Type="http://schemas.openxmlformats.org/officeDocument/2006/relationships/customXml" Target="../ink/ink5.xml"/><Relationship Id="rId4"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customXml" Target="../ink/ink9.xml"/><Relationship Id="rId7" Type="http://schemas.openxmlformats.org/officeDocument/2006/relationships/image" Target="../media/image3.png"/><Relationship Id="rId2" Type="http://schemas.openxmlformats.org/officeDocument/2006/relationships/image" Target="../media/image10.png"/><Relationship Id="rId1" Type="http://schemas.openxmlformats.org/officeDocument/2006/relationships/customXml" Target="../ink/ink8.xml"/><Relationship Id="rId6" Type="http://schemas.openxmlformats.org/officeDocument/2006/relationships/customXml" Target="../ink/ink11.xml"/><Relationship Id="rId5" Type="http://schemas.openxmlformats.org/officeDocument/2006/relationships/customXml" Target="../ink/ink10.xml"/><Relationship Id="rId4"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customXml" Target="../ink/ink12.xml"/><Relationship Id="rId4" Type="http://schemas.openxmlformats.org/officeDocument/2006/relationships/image" Target="../media/image20.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687201</xdr:colOff>
      <xdr:row>110</xdr:row>
      <xdr:rowOff>40822</xdr:rowOff>
    </xdr:from>
    <xdr:to>
      <xdr:col>3</xdr:col>
      <xdr:colOff>694761</xdr:colOff>
      <xdr:row>110</xdr:row>
      <xdr:rowOff>44422</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9" name="Ink 8">
              <a:extLst>
                <a:ext uri="{FF2B5EF4-FFF2-40B4-BE49-F238E27FC236}">
                  <a16:creationId xmlns:a16="http://schemas.microsoft.com/office/drawing/2014/main" id="{4DAA8253-963F-4A32-8F0F-F555C62EAD46}"/>
                </a:ext>
              </a:extLst>
            </xdr14:cNvPr>
            <xdr14:cNvContentPartPr/>
          </xdr14:nvContentPartPr>
          <xdr14:nvPr macro=""/>
          <xdr14:xfrm>
            <a:off x="7422737" y="34194751"/>
            <a:ext cx="7560" cy="3600"/>
          </xdr14:xfrm>
        </xdr:contentPart>
      </mc:Choice>
      <mc:Fallback xmlns="">
        <xdr:pic>
          <xdr:nvPicPr>
            <xdr:cNvPr id="9" name="Ink 8">
              <a:extLst>
                <a:ext uri="{FF2B5EF4-FFF2-40B4-BE49-F238E27FC236}">
                  <a16:creationId xmlns:a16="http://schemas.microsoft.com/office/drawing/2014/main" id="{4DAA8253-963F-4A32-8F0F-F555C62EAD46}"/>
                </a:ext>
              </a:extLst>
            </xdr:cNvPr>
            <xdr:cNvPicPr/>
          </xdr:nvPicPr>
          <xdr:blipFill>
            <a:blip xmlns:r="http://schemas.openxmlformats.org/officeDocument/2006/relationships" r:embed="rId2"/>
            <a:stretch>
              <a:fillRect/>
            </a:stretch>
          </xdr:blipFill>
          <xdr:spPr>
            <a:xfrm>
              <a:off x="7413737" y="34185751"/>
              <a:ext cx="25200" cy="21240"/>
            </a:xfrm>
            <a:prstGeom prst="rect">
              <a:avLst/>
            </a:prstGeom>
          </xdr:spPr>
        </xdr:pic>
      </mc:Fallback>
    </mc:AlternateContent>
    <xdr:clientData/>
  </xdr:twoCellAnchor>
  <xdr:oneCellAnchor>
    <xdr:from>
      <xdr:col>4</xdr:col>
      <xdr:colOff>317839</xdr:colOff>
      <xdr:row>31</xdr:row>
      <xdr:rowOff>189482</xdr:rowOff>
    </xdr:from>
    <xdr:ext cx="14332323" cy="450508"/>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E056F12-A00F-423C-94A9-C8BF820BCA09}"/>
                </a:ext>
              </a:extLst>
            </xdr:cNvPr>
            <xdr:cNvSpPr txBox="1"/>
          </xdr:nvSpPr>
          <xdr:spPr>
            <a:xfrm>
              <a:off x="7262430" y="7532391"/>
              <a:ext cx="14332323" cy="450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GB" sz="2800" b="0" i="1">
                            <a:latin typeface="Cambria Math" panose="02040503050406030204" pitchFamily="18" charset="0"/>
                          </a:rPr>
                        </m:ctrlPr>
                      </m:sSubPr>
                      <m:e>
                        <m:r>
                          <a:rPr lang="en-GB" sz="2800" b="0" i="1">
                            <a:latin typeface="Cambria Math" panose="02040503050406030204" pitchFamily="18" charset="0"/>
                          </a:rPr>
                          <m:t>𝐵</m:t>
                        </m:r>
                      </m:e>
                      <m:sub>
                        <m:r>
                          <a:rPr lang="en-GB" sz="2800" b="0" i="1">
                            <a:latin typeface="Cambria Math" panose="02040503050406030204" pitchFamily="18" charset="0"/>
                          </a:rPr>
                          <m:t>𝑖</m:t>
                        </m:r>
                      </m:sub>
                    </m:sSub>
                    <m:r>
                      <a:rPr lang="en-GB" sz="2800" b="0" i="1">
                        <a:latin typeface="Cambria Math" panose="02040503050406030204" pitchFamily="18" charset="0"/>
                      </a:rPr>
                      <m:t>=</m:t>
                    </m:r>
                    <m:sSub>
                      <m:sSubPr>
                        <m:ctrlPr>
                          <a:rPr lang="en-GB" sz="2800" b="0" i="1">
                            <a:latin typeface="Cambria Math" panose="02040503050406030204" pitchFamily="18" charset="0"/>
                          </a:rPr>
                        </m:ctrlPr>
                      </m:sSubPr>
                      <m:e>
                        <m:r>
                          <a:rPr lang="en-GB" sz="2800" b="0" i="1">
                            <a:latin typeface="Cambria Math" panose="02040503050406030204" pitchFamily="18" charset="0"/>
                          </a:rPr>
                          <m:t>𝑃</m:t>
                        </m:r>
                      </m:e>
                      <m:sub>
                        <m:r>
                          <a:rPr lang="en-GB" sz="2800" b="0" i="1">
                            <a:latin typeface="Cambria Math" panose="02040503050406030204" pitchFamily="18" charset="0"/>
                          </a:rPr>
                          <m:t>𝑖</m:t>
                        </m:r>
                      </m:sub>
                    </m:sSub>
                    <m:r>
                      <a:rPr lang="en-GB" sz="2800" b="0" i="1">
                        <a:latin typeface="Cambria Math" panose="02040503050406030204" pitchFamily="18" charset="0"/>
                      </a:rPr>
                      <m:t>⊕</m:t>
                    </m:r>
                    <m:sSub>
                      <m:sSubPr>
                        <m:ctrlPr>
                          <a:rPr lang="en-GB" sz="2800" b="0" i="1">
                            <a:latin typeface="Cambria Math" panose="02040503050406030204" pitchFamily="18" charset="0"/>
                          </a:rPr>
                        </m:ctrlPr>
                      </m:sSubPr>
                      <m:e>
                        <m:r>
                          <a:rPr lang="en-US" sz="2800" b="0" i="1">
                            <a:latin typeface="Cambria Math" panose="02040503050406030204" pitchFamily="18" charset="0"/>
                          </a:rPr>
                          <m:t>𝐾</m:t>
                        </m:r>
                      </m:e>
                      <m:sub>
                        <m:r>
                          <a:rPr lang="en-US" sz="2800" b="0" i="1">
                            <a:latin typeface="Cambria Math" panose="02040503050406030204" pitchFamily="18" charset="0"/>
                          </a:rPr>
                          <m:t>0,</m:t>
                        </m:r>
                        <m:r>
                          <a:rPr lang="en-GB" sz="2800" b="0" i="1">
                            <a:latin typeface="Cambria Math" panose="02040503050406030204" pitchFamily="18" charset="0"/>
                          </a:rPr>
                          <m:t>𝑖</m:t>
                        </m:r>
                      </m:sub>
                    </m:sSub>
                    <m:r>
                      <a:rPr lang="en-US" sz="2800" b="0" i="1">
                        <a:latin typeface="Cambria Math" panose="02040503050406030204" pitchFamily="18" charset="0"/>
                      </a:rPr>
                      <m:t>,</m:t>
                    </m:r>
                    <m:r>
                      <a:rPr lang="en-US" sz="2800" b="0" i="1">
                        <a:latin typeface="Cambria Math" panose="02040503050406030204" pitchFamily="18" charset="0"/>
                      </a:rPr>
                      <m:t>𝑖</m:t>
                    </m:r>
                    <m:r>
                      <a:rPr lang="en-US" sz="2800" b="0" i="1">
                        <a:latin typeface="Cambria Math" panose="02040503050406030204" pitchFamily="18" charset="0"/>
                      </a:rPr>
                      <m:t>=0,1,…,15</m:t>
                    </m:r>
                  </m:oMath>
                </m:oMathPara>
              </a14:m>
              <a:endParaRPr lang="en-GB" sz="2800"/>
            </a:p>
          </xdr:txBody>
        </xdr:sp>
      </mc:Choice>
      <mc:Fallback xmlns="">
        <xdr:sp macro="" textlink="">
          <xdr:nvSpPr>
            <xdr:cNvPr id="10" name="TextBox 9">
              <a:extLst>
                <a:ext uri="{FF2B5EF4-FFF2-40B4-BE49-F238E27FC236}">
                  <a16:creationId xmlns:a16="http://schemas.microsoft.com/office/drawing/2014/main" id="{0E056F12-A00F-423C-94A9-C8BF820BCA09}"/>
                </a:ext>
              </a:extLst>
            </xdr:cNvPr>
            <xdr:cNvSpPr txBox="1"/>
          </xdr:nvSpPr>
          <xdr:spPr>
            <a:xfrm>
              <a:off x="7262430" y="7532391"/>
              <a:ext cx="14332323" cy="4505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GB" sz="2800" b="0" i="0">
                  <a:latin typeface="Cambria Math" panose="02040503050406030204" pitchFamily="18" charset="0"/>
                </a:rPr>
                <a:t>𝐵_𝑖=𝑃_𝑖⊕</a:t>
              </a:r>
              <a:r>
                <a:rPr lang="en-US" sz="2800" b="0" i="0">
                  <a:latin typeface="Cambria Math" panose="02040503050406030204" pitchFamily="18" charset="0"/>
                </a:rPr>
                <a:t>𝐾</a:t>
              </a:r>
              <a:r>
                <a:rPr lang="en-GB" sz="2800" b="0" i="0">
                  <a:latin typeface="Cambria Math" panose="02040503050406030204" pitchFamily="18" charset="0"/>
                </a:rPr>
                <a:t>_(</a:t>
              </a:r>
              <a:r>
                <a:rPr lang="en-US" sz="2800" b="0" i="0">
                  <a:latin typeface="Cambria Math" panose="02040503050406030204" pitchFamily="18" charset="0"/>
                </a:rPr>
                <a:t>0,</a:t>
              </a:r>
              <a:r>
                <a:rPr lang="en-GB" sz="2800" b="0" i="0">
                  <a:latin typeface="Cambria Math" panose="02040503050406030204" pitchFamily="18" charset="0"/>
                </a:rPr>
                <a:t>𝑖)</a:t>
              </a:r>
              <a:r>
                <a:rPr lang="en-US" sz="2800" b="0" i="0">
                  <a:latin typeface="Cambria Math" panose="02040503050406030204" pitchFamily="18" charset="0"/>
                </a:rPr>
                <a:t>,𝑖=0,1,…,15</a:t>
              </a:r>
              <a:endParaRPr lang="en-GB" sz="28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editAs="oneCell">
    <xdr:from>
      <xdr:col>19</xdr:col>
      <xdr:colOff>272336</xdr:colOff>
      <xdr:row>20</xdr:row>
      <xdr:rowOff>10693</xdr:rowOff>
    </xdr:from>
    <xdr:to>
      <xdr:col>19</xdr:col>
      <xdr:colOff>272696</xdr:colOff>
      <xdr:row>20</xdr:row>
      <xdr:rowOff>11053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EE38A751-FBC4-4933-8966-BC3377F2F634}"/>
                </a:ext>
              </a:extLst>
            </xdr14:cNvPr>
            <xdr14:cNvContentPartPr/>
          </xdr14:nvContentPartPr>
          <xdr14:nvPr macro=""/>
          <xdr14:xfrm>
            <a:off x="19063800" y="1834050"/>
            <a:ext cx="360" cy="360"/>
          </xdr14:xfrm>
        </xdr:contentPart>
      </mc:Choice>
      <mc:Fallback xmlns="">
        <xdr:pic>
          <xdr:nvPicPr>
            <xdr:cNvPr id="2" name="Ink 1">
              <a:extLst>
                <a:ext uri="{FF2B5EF4-FFF2-40B4-BE49-F238E27FC236}">
                  <a16:creationId xmlns:a16="http://schemas.microsoft.com/office/drawing/2014/main" id="{EE38A751-FBC4-4933-8966-BC3377F2F634}"/>
                </a:ext>
              </a:extLst>
            </xdr:cNvPr>
            <xdr:cNvPicPr/>
          </xdr:nvPicPr>
          <xdr:blipFill>
            <a:blip xmlns:r="http://schemas.openxmlformats.org/officeDocument/2006/relationships" r:embed="rId2"/>
            <a:stretch>
              <a:fillRect/>
            </a:stretch>
          </xdr:blipFill>
          <xdr:spPr>
            <a:xfrm>
              <a:off x="19054800" y="1825410"/>
              <a:ext cx="18000" cy="18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47</xdr:col>
      <xdr:colOff>800363</xdr:colOff>
      <xdr:row>113</xdr:row>
      <xdr:rowOff>136140</xdr:rowOff>
    </xdr:from>
    <xdr:to>
      <xdr:col>48</xdr:col>
      <xdr:colOff>5406</xdr:colOff>
      <xdr:row>113</xdr:row>
      <xdr:rowOff>136500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94" name="Ink 93">
              <a:extLst>
                <a:ext uri="{FF2B5EF4-FFF2-40B4-BE49-F238E27FC236}">
                  <a16:creationId xmlns:a16="http://schemas.microsoft.com/office/drawing/2014/main" id="{31A55FAD-C8A7-4D0F-814E-A3A84A18AF5A}"/>
                </a:ext>
              </a:extLst>
            </xdr14:cNvPr>
            <xdr14:cNvContentPartPr/>
          </xdr14:nvContentPartPr>
          <xdr14:nvPr macro=""/>
          <xdr14:xfrm>
            <a:off x="8536320" y="24528423"/>
            <a:ext cx="360" cy="360"/>
          </xdr14:xfrm>
        </xdr:contentPart>
      </mc:Choice>
      <mc:Fallback xmlns="">
        <xdr:pic>
          <xdr:nvPicPr>
            <xdr:cNvPr id="94" name="Ink 93">
              <a:extLst>
                <a:ext uri="{FF2B5EF4-FFF2-40B4-BE49-F238E27FC236}">
                  <a16:creationId xmlns:a16="http://schemas.microsoft.com/office/drawing/2014/main" id="{31A55FAD-C8A7-4D0F-814E-A3A84A18AF5A}"/>
                </a:ext>
              </a:extLst>
            </xdr:cNvPr>
            <xdr:cNvPicPr/>
          </xdr:nvPicPr>
          <xdr:blipFill>
            <a:blip xmlns:r="http://schemas.openxmlformats.org/officeDocument/2006/relationships" r:embed="rId2"/>
            <a:stretch>
              <a:fillRect/>
            </a:stretch>
          </xdr:blipFill>
          <xdr:spPr>
            <a:xfrm>
              <a:off x="8527320" y="24519423"/>
              <a:ext cx="18000" cy="18000"/>
            </a:xfrm>
            <a:prstGeom prst="rect">
              <a:avLst/>
            </a:prstGeom>
          </xdr:spPr>
        </xdr:pic>
      </mc:Fallback>
    </mc:AlternateContent>
    <xdr:clientData/>
  </xdr:twoCellAnchor>
  <xdr:twoCellAnchor editAs="oneCell">
    <xdr:from>
      <xdr:col>6</xdr:col>
      <xdr:colOff>464483</xdr:colOff>
      <xdr:row>151</xdr:row>
      <xdr:rowOff>144540</xdr:rowOff>
    </xdr:from>
    <xdr:to>
      <xdr:col>6</xdr:col>
      <xdr:colOff>464843</xdr:colOff>
      <xdr:row>151</xdr:row>
      <xdr:rowOff>145620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112" name="Ink 111">
              <a:extLst>
                <a:ext uri="{FF2B5EF4-FFF2-40B4-BE49-F238E27FC236}">
                  <a16:creationId xmlns:a16="http://schemas.microsoft.com/office/drawing/2014/main" id="{8E70840D-2F5E-4D53-93EA-8D93AC4FAF99}"/>
                </a:ext>
              </a:extLst>
            </xdr14:cNvPr>
            <xdr14:cNvContentPartPr/>
          </xdr14:nvContentPartPr>
          <xdr14:nvPr macro=""/>
          <xdr14:xfrm>
            <a:off x="8200440" y="26441823"/>
            <a:ext cx="360" cy="1080"/>
          </xdr14:xfrm>
        </xdr:contentPart>
      </mc:Choice>
      <mc:Fallback xmlns="">
        <xdr:pic>
          <xdr:nvPicPr>
            <xdr:cNvPr id="112" name="Ink 111">
              <a:extLst>
                <a:ext uri="{FF2B5EF4-FFF2-40B4-BE49-F238E27FC236}">
                  <a16:creationId xmlns:a16="http://schemas.microsoft.com/office/drawing/2014/main" id="{8E70840D-2F5E-4D53-93EA-8D93AC4FAF99}"/>
                </a:ext>
              </a:extLst>
            </xdr:cNvPr>
            <xdr:cNvPicPr/>
          </xdr:nvPicPr>
          <xdr:blipFill>
            <a:blip xmlns:r="http://schemas.openxmlformats.org/officeDocument/2006/relationships" r:embed="rId4"/>
            <a:stretch>
              <a:fillRect/>
            </a:stretch>
          </xdr:blipFill>
          <xdr:spPr>
            <a:xfrm>
              <a:off x="8191440" y="26432823"/>
              <a:ext cx="18000" cy="18720"/>
            </a:xfrm>
            <a:prstGeom prst="rect">
              <a:avLst/>
            </a:prstGeom>
          </xdr:spPr>
        </xdr:pic>
      </mc:Fallback>
    </mc:AlternateContent>
    <xdr:clientData/>
  </xdr:twoCellAnchor>
  <xdr:twoCellAnchor editAs="oneCell">
    <xdr:from>
      <xdr:col>0</xdr:col>
      <xdr:colOff>58628</xdr:colOff>
      <xdr:row>98</xdr:row>
      <xdr:rowOff>13867</xdr:rowOff>
    </xdr:from>
    <xdr:to>
      <xdr:col>0</xdr:col>
      <xdr:colOff>58988</xdr:colOff>
      <xdr:row>98</xdr:row>
      <xdr:rowOff>14227</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174" name="Ink 173">
              <a:extLst>
                <a:ext uri="{FF2B5EF4-FFF2-40B4-BE49-F238E27FC236}">
                  <a16:creationId xmlns:a16="http://schemas.microsoft.com/office/drawing/2014/main" id="{242E8993-F57E-4660-BBD3-4220EA72029D}"/>
                </a:ext>
              </a:extLst>
            </xdr14:cNvPr>
            <xdr14:cNvContentPartPr/>
          </xdr14:nvContentPartPr>
          <xdr14:nvPr macro=""/>
          <xdr14:xfrm>
            <a:off x="2510280" y="21929650"/>
            <a:ext cx="360" cy="360"/>
          </xdr14:xfrm>
        </xdr:contentPart>
      </mc:Choice>
      <mc:Fallback xmlns="">
        <xdr:pic>
          <xdr:nvPicPr>
            <xdr:cNvPr id="174" name="Ink 173">
              <a:extLst>
                <a:ext uri="{FF2B5EF4-FFF2-40B4-BE49-F238E27FC236}">
                  <a16:creationId xmlns:a16="http://schemas.microsoft.com/office/drawing/2014/main" id="{242E8993-F57E-4660-BBD3-4220EA72029D}"/>
                </a:ext>
              </a:extLst>
            </xdr:cNvPr>
            <xdr:cNvPicPr/>
          </xdr:nvPicPr>
          <xdr:blipFill>
            <a:blip xmlns:r="http://schemas.openxmlformats.org/officeDocument/2006/relationships" r:embed="rId4"/>
            <a:stretch>
              <a:fillRect/>
            </a:stretch>
          </xdr:blipFill>
          <xdr:spPr>
            <a:xfrm>
              <a:off x="2501640" y="21920650"/>
              <a:ext cx="18000" cy="18000"/>
            </a:xfrm>
            <a:prstGeom prst="rect">
              <a:avLst/>
            </a:prstGeom>
          </xdr:spPr>
        </xdr:pic>
      </mc:Fallback>
    </mc:AlternateContent>
    <xdr:clientData/>
  </xdr:twoCellAnchor>
  <xdr:twoCellAnchor editAs="oneCell">
    <xdr:from>
      <xdr:col>6</xdr:col>
      <xdr:colOff>349058</xdr:colOff>
      <xdr:row>213</xdr:row>
      <xdr:rowOff>44002</xdr:rowOff>
    </xdr:from>
    <xdr:to>
      <xdr:col>6</xdr:col>
      <xdr:colOff>349418</xdr:colOff>
      <xdr:row>213</xdr:row>
      <xdr:rowOff>46522</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14" name="Ink 13">
              <a:extLst>
                <a:ext uri="{FF2B5EF4-FFF2-40B4-BE49-F238E27FC236}">
                  <a16:creationId xmlns:a16="http://schemas.microsoft.com/office/drawing/2014/main" id="{CF5F4DF9-ABE6-4FD7-B359-62FDE5B0ED2A}"/>
                </a:ext>
              </a:extLst>
            </xdr14:cNvPr>
            <xdr14:cNvContentPartPr/>
          </xdr14:nvContentPartPr>
          <xdr14:nvPr macro=""/>
          <xdr14:xfrm>
            <a:off x="8880737" y="37817431"/>
            <a:ext cx="360" cy="2520"/>
          </xdr14:xfrm>
        </xdr:contentPart>
      </mc:Choice>
      <mc:Fallback xmlns="">
        <xdr:pic>
          <xdr:nvPicPr>
            <xdr:cNvPr id="14" name="Ink 13">
              <a:extLst>
                <a:ext uri="{FF2B5EF4-FFF2-40B4-BE49-F238E27FC236}">
                  <a16:creationId xmlns:a16="http://schemas.microsoft.com/office/drawing/2014/main" id="{CF5F4DF9-ABE6-4FD7-B359-62FDE5B0ED2A}"/>
                </a:ext>
              </a:extLst>
            </xdr:cNvPr>
            <xdr:cNvPicPr/>
          </xdr:nvPicPr>
          <xdr:blipFill>
            <a:blip xmlns:r="http://schemas.openxmlformats.org/officeDocument/2006/relationships" r:embed="rId7"/>
            <a:stretch>
              <a:fillRect/>
            </a:stretch>
          </xdr:blipFill>
          <xdr:spPr>
            <a:xfrm>
              <a:off x="8872097" y="37808791"/>
              <a:ext cx="18000" cy="20160"/>
            </a:xfrm>
            <a:prstGeom prst="rect">
              <a:avLst/>
            </a:prstGeom>
          </xdr:spPr>
        </xdr:pic>
      </mc:Fallback>
    </mc:AlternateContent>
    <xdr:clientData/>
  </xdr:twoCellAnchor>
  <xdr:twoCellAnchor editAs="oneCell">
    <xdr:from>
      <xdr:col>4</xdr:col>
      <xdr:colOff>687201</xdr:colOff>
      <xdr:row>189</xdr:row>
      <xdr:rowOff>40822</xdr:rowOff>
    </xdr:from>
    <xdr:to>
      <xdr:col>4</xdr:col>
      <xdr:colOff>694761</xdr:colOff>
      <xdr:row>189</xdr:row>
      <xdr:rowOff>44422</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25" name="Ink 24">
              <a:extLst>
                <a:ext uri="{FF2B5EF4-FFF2-40B4-BE49-F238E27FC236}">
                  <a16:creationId xmlns:a16="http://schemas.microsoft.com/office/drawing/2014/main" id="{6E386713-79C1-4633-B6FB-E507F2800BB3}"/>
                </a:ext>
              </a:extLst>
            </xdr14:cNvPr>
            <xdr14:cNvContentPartPr/>
          </xdr14:nvContentPartPr>
          <xdr14:nvPr macro=""/>
          <xdr14:xfrm>
            <a:off x="7422737" y="34194751"/>
            <a:ext cx="7560" cy="3600"/>
          </xdr14:xfrm>
        </xdr:contentPart>
      </mc:Choice>
      <mc:Fallback xmlns="">
        <xdr:pic>
          <xdr:nvPicPr>
            <xdr:cNvPr id="25" name="Ink 24">
              <a:extLst>
                <a:ext uri="{FF2B5EF4-FFF2-40B4-BE49-F238E27FC236}">
                  <a16:creationId xmlns:a16="http://schemas.microsoft.com/office/drawing/2014/main" id="{6E386713-79C1-4633-B6FB-E507F2800BB3}"/>
                </a:ext>
              </a:extLst>
            </xdr:cNvPr>
            <xdr:cNvPicPr/>
          </xdr:nvPicPr>
          <xdr:blipFill>
            <a:blip xmlns:r="http://schemas.openxmlformats.org/officeDocument/2006/relationships" r:embed="rId2"/>
            <a:stretch>
              <a:fillRect/>
            </a:stretch>
          </xdr:blipFill>
          <xdr:spPr>
            <a:xfrm>
              <a:off x="7413737" y="34185751"/>
              <a:ext cx="25200" cy="2124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37</xdr:col>
      <xdr:colOff>800363</xdr:colOff>
      <xdr:row>71</xdr:row>
      <xdr:rowOff>136140</xdr:rowOff>
    </xdr:from>
    <xdr:to>
      <xdr:col>37</xdr:col>
      <xdr:colOff>802228</xdr:colOff>
      <xdr:row>71</xdr:row>
      <xdr:rowOff>136500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Ink 2">
              <a:extLst>
                <a:ext uri="{FF2B5EF4-FFF2-40B4-BE49-F238E27FC236}">
                  <a16:creationId xmlns:a16="http://schemas.microsoft.com/office/drawing/2014/main" id="{0644B6D1-D4AC-4715-8745-81675DF23F47}"/>
                </a:ext>
              </a:extLst>
            </xdr14:cNvPr>
            <xdr14:cNvContentPartPr/>
          </xdr14:nvContentPartPr>
          <xdr14:nvPr macro=""/>
          <xdr14:xfrm>
            <a:off x="8536320" y="24528423"/>
            <a:ext cx="360" cy="360"/>
          </xdr14:xfrm>
        </xdr:contentPart>
      </mc:Choice>
      <mc:Fallback xmlns="">
        <xdr:pic>
          <xdr:nvPicPr>
            <xdr:cNvPr id="94" name="Ink 93">
              <a:extLst>
                <a:ext uri="{FF2B5EF4-FFF2-40B4-BE49-F238E27FC236}">
                  <a16:creationId xmlns:a16="http://schemas.microsoft.com/office/drawing/2014/main" id="{31A55FAD-C8A7-4D0F-814E-A3A84A18AF5A}"/>
                </a:ext>
              </a:extLst>
            </xdr:cNvPr>
            <xdr:cNvPicPr/>
          </xdr:nvPicPr>
          <xdr:blipFill>
            <a:blip xmlns:r="http://schemas.openxmlformats.org/officeDocument/2006/relationships" r:embed="rId2"/>
            <a:stretch>
              <a:fillRect/>
            </a:stretch>
          </xdr:blipFill>
          <xdr:spPr>
            <a:xfrm>
              <a:off x="8527320" y="24519423"/>
              <a:ext cx="18000" cy="18000"/>
            </a:xfrm>
            <a:prstGeom prst="rect">
              <a:avLst/>
            </a:prstGeom>
          </xdr:spPr>
        </xdr:pic>
      </mc:Fallback>
    </mc:AlternateContent>
    <xdr:clientData/>
  </xdr:twoCellAnchor>
  <xdr:twoCellAnchor editAs="oneCell">
    <xdr:from>
      <xdr:col>1</xdr:col>
      <xdr:colOff>0</xdr:colOff>
      <xdr:row>50</xdr:row>
      <xdr:rowOff>13867</xdr:rowOff>
    </xdr:from>
    <xdr:to>
      <xdr:col>1</xdr:col>
      <xdr:colOff>360</xdr:colOff>
      <xdr:row>50</xdr:row>
      <xdr:rowOff>14227</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4" name="Ink 3">
              <a:extLst>
                <a:ext uri="{FF2B5EF4-FFF2-40B4-BE49-F238E27FC236}">
                  <a16:creationId xmlns:a16="http://schemas.microsoft.com/office/drawing/2014/main" id="{A3089533-4E6C-4F96-A94E-EE4BA5BF3DDC}"/>
                </a:ext>
              </a:extLst>
            </xdr14:cNvPr>
            <xdr14:cNvContentPartPr/>
          </xdr14:nvContentPartPr>
          <xdr14:nvPr macro=""/>
          <xdr14:xfrm>
            <a:off x="2510280" y="21929650"/>
            <a:ext cx="360" cy="360"/>
          </xdr14:xfrm>
        </xdr:contentPart>
      </mc:Choice>
      <mc:Fallback xmlns="">
        <xdr:pic>
          <xdr:nvPicPr>
            <xdr:cNvPr id="174" name="Ink 173">
              <a:extLst>
                <a:ext uri="{FF2B5EF4-FFF2-40B4-BE49-F238E27FC236}">
                  <a16:creationId xmlns:a16="http://schemas.microsoft.com/office/drawing/2014/main" id="{242E8993-F57E-4660-BBD3-4220EA72029D}"/>
                </a:ext>
              </a:extLst>
            </xdr:cNvPr>
            <xdr:cNvPicPr/>
          </xdr:nvPicPr>
          <xdr:blipFill>
            <a:blip xmlns:r="http://schemas.openxmlformats.org/officeDocument/2006/relationships" r:embed="rId4"/>
            <a:stretch>
              <a:fillRect/>
            </a:stretch>
          </xdr:blipFill>
          <xdr:spPr>
            <a:xfrm>
              <a:off x="2501640" y="21920650"/>
              <a:ext cx="18000" cy="18000"/>
            </a:xfrm>
            <a:prstGeom prst="rect">
              <a:avLst/>
            </a:prstGeom>
          </xdr:spPr>
        </xdr:pic>
      </mc:Fallback>
    </mc:AlternateContent>
    <xdr:clientData/>
  </xdr:twoCellAnchor>
  <xdr:twoCellAnchor editAs="oneCell">
    <xdr:from>
      <xdr:col>19</xdr:col>
      <xdr:colOff>272336</xdr:colOff>
      <xdr:row>24</xdr:row>
      <xdr:rowOff>0</xdr:rowOff>
    </xdr:from>
    <xdr:to>
      <xdr:col>19</xdr:col>
      <xdr:colOff>272696</xdr:colOff>
      <xdr:row>24</xdr:row>
      <xdr:rowOff>360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35" name="Ink 34">
              <a:extLst>
                <a:ext uri="{FF2B5EF4-FFF2-40B4-BE49-F238E27FC236}">
                  <a16:creationId xmlns:a16="http://schemas.microsoft.com/office/drawing/2014/main" id="{07713308-7A27-4A11-AD5F-718FFE14EC9F}"/>
                </a:ext>
              </a:extLst>
            </xdr14:cNvPr>
            <xdr14:cNvContentPartPr/>
          </xdr14:nvContentPartPr>
          <xdr14:nvPr macro=""/>
          <xdr14:xfrm>
            <a:off x="19063800" y="1834050"/>
            <a:ext cx="360" cy="360"/>
          </xdr14:xfrm>
        </xdr:contentPart>
      </mc:Choice>
      <mc:Fallback xmlns="">
        <xdr:pic>
          <xdr:nvPicPr>
            <xdr:cNvPr id="35" name="Ink 34">
              <a:extLst>
                <a:ext uri="{FF2B5EF4-FFF2-40B4-BE49-F238E27FC236}">
                  <a16:creationId xmlns:a16="http://schemas.microsoft.com/office/drawing/2014/main" id="{07713308-7A27-4A11-AD5F-718FFE14EC9F}"/>
                </a:ext>
              </a:extLst>
            </xdr:cNvPr>
            <xdr:cNvPicPr/>
          </xdr:nvPicPr>
          <xdr:blipFill>
            <a:blip xmlns:r="http://schemas.openxmlformats.org/officeDocument/2006/relationships" r:embed="rId4"/>
            <a:stretch>
              <a:fillRect/>
            </a:stretch>
          </xdr:blipFill>
          <xdr:spPr>
            <a:xfrm>
              <a:off x="19054800" y="1825410"/>
              <a:ext cx="18000" cy="18000"/>
            </a:xfrm>
            <a:prstGeom prst="rect">
              <a:avLst/>
            </a:prstGeom>
          </xdr:spPr>
        </xdr:pic>
      </mc:Fallback>
    </mc:AlternateContent>
    <xdr:clientData/>
  </xdr:twoCellAnchor>
  <xdr:twoCellAnchor editAs="oneCell">
    <xdr:from>
      <xdr:col>6</xdr:col>
      <xdr:colOff>349058</xdr:colOff>
      <xdr:row>7</xdr:row>
      <xdr:rowOff>44002</xdr:rowOff>
    </xdr:from>
    <xdr:to>
      <xdr:col>6</xdr:col>
      <xdr:colOff>349418</xdr:colOff>
      <xdr:row>7</xdr:row>
      <xdr:rowOff>46522</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6" name="Ink 5">
              <a:extLst>
                <a:ext uri="{FF2B5EF4-FFF2-40B4-BE49-F238E27FC236}">
                  <a16:creationId xmlns:a16="http://schemas.microsoft.com/office/drawing/2014/main" id="{00727347-57D2-47F0-B708-4DAA2830F7D9}"/>
                </a:ext>
              </a:extLst>
            </xdr14:cNvPr>
            <xdr14:cNvContentPartPr/>
          </xdr14:nvContentPartPr>
          <xdr14:nvPr macro=""/>
          <xdr14:xfrm>
            <a:off x="8880737" y="37817431"/>
            <a:ext cx="360" cy="2520"/>
          </xdr14:xfrm>
        </xdr:contentPart>
      </mc:Choice>
      <mc:Fallback xmlns="">
        <xdr:pic>
          <xdr:nvPicPr>
            <xdr:cNvPr id="14" name="Ink 13">
              <a:extLst>
                <a:ext uri="{FF2B5EF4-FFF2-40B4-BE49-F238E27FC236}">
                  <a16:creationId xmlns:a16="http://schemas.microsoft.com/office/drawing/2014/main" id="{CF5F4DF9-ABE6-4FD7-B359-62FDE5B0ED2A}"/>
                </a:ext>
              </a:extLst>
            </xdr:cNvPr>
            <xdr:cNvPicPr/>
          </xdr:nvPicPr>
          <xdr:blipFill>
            <a:blip xmlns:r="http://schemas.openxmlformats.org/officeDocument/2006/relationships" r:embed="rId7"/>
            <a:stretch>
              <a:fillRect/>
            </a:stretch>
          </xdr:blipFill>
          <xdr:spPr>
            <a:xfrm>
              <a:off x="8872097" y="37808791"/>
              <a:ext cx="18000" cy="20160"/>
            </a:xfrm>
            <a:prstGeom prst="rect">
              <a:avLst/>
            </a:prstGeom>
          </xdr:spPr>
        </xdr:pic>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72</xdr:row>
      <xdr:rowOff>13867</xdr:rowOff>
    </xdr:from>
    <xdr:to>
      <xdr:col>0</xdr:col>
      <xdr:colOff>360</xdr:colOff>
      <xdr:row>72</xdr:row>
      <xdr:rowOff>14227</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62701297-A0BF-4388-B8DE-28DB0C12E66F}"/>
                </a:ext>
              </a:extLst>
            </xdr14:cNvPr>
            <xdr14:cNvContentPartPr/>
          </xdr14:nvContentPartPr>
          <xdr14:nvPr macro=""/>
          <xdr14:xfrm>
            <a:off x="2510280" y="21929650"/>
            <a:ext cx="360" cy="360"/>
          </xdr14:xfrm>
        </xdr:contentPart>
      </mc:Choice>
      <mc:Fallback xmlns="">
        <xdr:pic>
          <xdr:nvPicPr>
            <xdr:cNvPr id="174" name="Ink 173">
              <a:extLst>
                <a:ext uri="{FF2B5EF4-FFF2-40B4-BE49-F238E27FC236}">
                  <a16:creationId xmlns:a16="http://schemas.microsoft.com/office/drawing/2014/main" id="{242E8993-F57E-4660-BBD3-4220EA72029D}"/>
                </a:ext>
              </a:extLst>
            </xdr:cNvPr>
            <xdr:cNvPicPr/>
          </xdr:nvPicPr>
          <xdr:blipFill>
            <a:blip xmlns:r="http://schemas.openxmlformats.org/officeDocument/2006/relationships" r:embed="rId4"/>
            <a:stretch>
              <a:fillRect/>
            </a:stretch>
          </xdr:blipFill>
          <xdr:spPr>
            <a:xfrm>
              <a:off x="2501640" y="21920650"/>
              <a:ext cx="18000" cy="1800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2</xdr:colOff>
      <xdr:row>5</xdr:row>
      <xdr:rowOff>178377</xdr:rowOff>
    </xdr:from>
    <xdr:to>
      <xdr:col>14</xdr:col>
      <xdr:colOff>242455</xdr:colOff>
      <xdr:row>47</xdr:row>
      <xdr:rowOff>96983</xdr:rowOff>
    </xdr:to>
    <xdr:grpSp>
      <xdr:nvGrpSpPr>
        <xdr:cNvPr id="4" name="Group 3">
          <a:extLst>
            <a:ext uri="{FF2B5EF4-FFF2-40B4-BE49-F238E27FC236}">
              <a16:creationId xmlns:a16="http://schemas.microsoft.com/office/drawing/2014/main" id="{7928C7BD-FDEE-41B1-ACA8-AD626E434A35}"/>
            </a:ext>
          </a:extLst>
        </xdr:cNvPr>
        <xdr:cNvGrpSpPr/>
      </xdr:nvGrpSpPr>
      <xdr:grpSpPr>
        <a:xfrm>
          <a:off x="2" y="1321377"/>
          <a:ext cx="16244453" cy="9519806"/>
          <a:chOff x="326574" y="438149"/>
          <a:chExt cx="17060881" cy="7932333"/>
        </a:xfrm>
      </xdr:grpSpPr>
      <xdr:sp macro="" textlink="">
        <xdr:nvSpPr>
          <xdr:cNvPr id="29" name="TextBox 28">
            <a:extLst>
              <a:ext uri="{FF2B5EF4-FFF2-40B4-BE49-F238E27FC236}">
                <a16:creationId xmlns:a16="http://schemas.microsoft.com/office/drawing/2014/main" id="{CA8FA5BF-CE20-48C4-A5FD-C54CC34489C4}"/>
              </a:ext>
            </a:extLst>
          </xdr:cNvPr>
          <xdr:cNvSpPr txBox="1"/>
        </xdr:nvSpPr>
        <xdr:spPr>
          <a:xfrm>
            <a:off x="7288045" y="7863058"/>
            <a:ext cx="6010618" cy="5074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FIgure</a:t>
            </a:r>
            <a:r>
              <a:rPr lang="en-GB" sz="1800" baseline="0"/>
              <a:t> 1: Diagram showing Key scheduling process for AES</a:t>
            </a:r>
            <a:endParaRPr lang="en-GB" sz="1800"/>
          </a:p>
        </xdr:txBody>
      </xdr:sp>
      <xdr:grpSp>
        <xdr:nvGrpSpPr>
          <xdr:cNvPr id="2" name="Group 1">
            <a:extLst>
              <a:ext uri="{FF2B5EF4-FFF2-40B4-BE49-F238E27FC236}">
                <a16:creationId xmlns:a16="http://schemas.microsoft.com/office/drawing/2014/main" id="{547F1169-AF1D-44BD-A3F4-5BDA4FCFBF4F}"/>
              </a:ext>
            </a:extLst>
          </xdr:cNvPr>
          <xdr:cNvGrpSpPr/>
        </xdr:nvGrpSpPr>
        <xdr:grpSpPr>
          <a:xfrm>
            <a:off x="326574" y="438149"/>
            <a:ext cx="17060881" cy="7303077"/>
            <a:chOff x="323994" y="438150"/>
            <a:chExt cx="13316591" cy="6915150"/>
          </a:xfrm>
        </xdr:grpSpPr>
        <xdr:pic>
          <xdr:nvPicPr>
            <xdr:cNvPr id="3" name="Picture 2">
              <a:extLst>
                <a:ext uri="{FF2B5EF4-FFF2-40B4-BE49-F238E27FC236}">
                  <a16:creationId xmlns:a16="http://schemas.microsoft.com/office/drawing/2014/main" id="{422BAF0D-16B4-42E4-B628-3F88C4022B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59699" y="1647825"/>
              <a:ext cx="5822576" cy="5705475"/>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7" name="Group 6">
              <a:extLst>
                <a:ext uri="{FF2B5EF4-FFF2-40B4-BE49-F238E27FC236}">
                  <a16:creationId xmlns:a16="http://schemas.microsoft.com/office/drawing/2014/main" id="{978A84F8-A099-4009-AD3D-3D0A26ED6E92}"/>
                </a:ext>
              </a:extLst>
            </xdr:cNvPr>
            <xdr:cNvGrpSpPr/>
          </xdr:nvGrpSpPr>
          <xdr:grpSpPr>
            <a:xfrm>
              <a:off x="6241676" y="438150"/>
              <a:ext cx="3906932" cy="1085850"/>
              <a:chOff x="6210301" y="676275"/>
              <a:chExt cx="4133850" cy="1076327"/>
            </a:xfrm>
          </xdr:grpSpPr>
          <xdr:sp macro="" textlink="">
            <xdr:nvSpPr>
              <xdr:cNvPr id="5" name="TextBox 4">
                <a:extLst>
                  <a:ext uri="{FF2B5EF4-FFF2-40B4-BE49-F238E27FC236}">
                    <a16:creationId xmlns:a16="http://schemas.microsoft.com/office/drawing/2014/main" id="{31F17E0F-D3B2-49BF-89F7-1359E43E87AD}"/>
                  </a:ext>
                </a:extLst>
              </xdr:cNvPr>
              <xdr:cNvSpPr txBox="1"/>
            </xdr:nvSpPr>
            <xdr:spPr>
              <a:xfrm>
                <a:off x="6481563" y="676275"/>
                <a:ext cx="3472696" cy="333375"/>
              </a:xfrm>
              <a:prstGeom prst="rect">
                <a:avLst/>
              </a:prstGeom>
              <a:solidFill>
                <a:schemeClr val="bg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a:t>128-bit</a:t>
                </a:r>
                <a:r>
                  <a:rPr lang="en-GB" sz="1800" baseline="0"/>
                  <a:t> Key Randomly Generated</a:t>
                </a:r>
                <a:endParaRPr lang="en-GB" sz="1800"/>
              </a:p>
            </xdr:txBody>
          </xdr:sp>
          <xdr:sp macro="" textlink="">
            <xdr:nvSpPr>
              <xdr:cNvPr id="6" name="Left Brace 5">
                <a:extLst>
                  <a:ext uri="{FF2B5EF4-FFF2-40B4-BE49-F238E27FC236}">
                    <a16:creationId xmlns:a16="http://schemas.microsoft.com/office/drawing/2014/main" id="{C6BE6859-6E01-4B74-A954-7F1D779D17A7}"/>
                  </a:ext>
                </a:extLst>
              </xdr:cNvPr>
              <xdr:cNvSpPr/>
            </xdr:nvSpPr>
            <xdr:spPr>
              <a:xfrm rot="5400000">
                <a:off x="7986714" y="-604835"/>
                <a:ext cx="581024" cy="4133850"/>
              </a:xfrm>
              <a:prstGeom prst="leftBrace">
                <a:avLst>
                  <a:gd name="adj1" fmla="val 8333"/>
                  <a:gd name="adj2" fmla="val 54472"/>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grpSp>
        <xdr:grpSp>
          <xdr:nvGrpSpPr>
            <xdr:cNvPr id="10" name="Group 9">
              <a:extLst>
                <a:ext uri="{FF2B5EF4-FFF2-40B4-BE49-F238E27FC236}">
                  <a16:creationId xmlns:a16="http://schemas.microsoft.com/office/drawing/2014/main" id="{E856149D-63E8-41FF-88A0-B0E81E064B96}"/>
                </a:ext>
              </a:extLst>
            </xdr:cNvPr>
            <xdr:cNvGrpSpPr/>
          </xdr:nvGrpSpPr>
          <xdr:grpSpPr>
            <a:xfrm rot="16200000">
              <a:off x="4641473" y="1404935"/>
              <a:ext cx="1771651" cy="2066930"/>
              <a:chOff x="4267200" y="1861747"/>
              <a:chExt cx="4133850" cy="1500579"/>
            </a:xfrm>
          </xdr:grpSpPr>
          <xdr:sp macro="" textlink="">
            <xdr:nvSpPr>
              <xdr:cNvPr id="8" name="TextBox 7">
                <a:extLst>
                  <a:ext uri="{FF2B5EF4-FFF2-40B4-BE49-F238E27FC236}">
                    <a16:creationId xmlns:a16="http://schemas.microsoft.com/office/drawing/2014/main" id="{FC87F8B8-0930-4619-BF94-6E3E35097708}"/>
                  </a:ext>
                </a:extLst>
              </xdr:cNvPr>
              <xdr:cNvSpPr txBox="1"/>
            </xdr:nvSpPr>
            <xdr:spPr>
              <a:xfrm rot="5400000">
                <a:off x="5360070" y="1889652"/>
                <a:ext cx="1001960" cy="946150"/>
              </a:xfrm>
              <a:prstGeom prst="rect">
                <a:avLst/>
              </a:prstGeom>
              <a:solidFill>
                <a:schemeClr val="bg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32-bit</a:t>
                </a:r>
                <a:r>
                  <a:rPr lang="en-GB" sz="1800" baseline="0"/>
                  <a:t> Word </a:t>
                </a:r>
                <a:endParaRPr lang="en-GB" sz="1800"/>
              </a:p>
            </xdr:txBody>
          </xdr:sp>
          <xdr:sp macro="" textlink="">
            <xdr:nvSpPr>
              <xdr:cNvPr id="9" name="Left Brace 8">
                <a:extLst>
                  <a:ext uri="{FF2B5EF4-FFF2-40B4-BE49-F238E27FC236}">
                    <a16:creationId xmlns:a16="http://schemas.microsoft.com/office/drawing/2014/main" id="{B7263A8F-EF1B-4902-9189-02C0E9627E6E}"/>
                  </a:ext>
                </a:extLst>
              </xdr:cNvPr>
              <xdr:cNvSpPr/>
            </xdr:nvSpPr>
            <xdr:spPr>
              <a:xfrm rot="5400000">
                <a:off x="6150151" y="1111427"/>
                <a:ext cx="367948" cy="4133850"/>
              </a:xfrm>
              <a:prstGeom prst="leftBrace">
                <a:avLst>
                  <a:gd name="adj1" fmla="val 8333"/>
                  <a:gd name="adj2" fmla="val 55547"/>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grpSp>
        <xdr:grpSp>
          <xdr:nvGrpSpPr>
            <xdr:cNvPr id="22" name="Group 21">
              <a:extLst>
                <a:ext uri="{FF2B5EF4-FFF2-40B4-BE49-F238E27FC236}">
                  <a16:creationId xmlns:a16="http://schemas.microsoft.com/office/drawing/2014/main" id="{FE5760E7-1502-4F1F-A9F9-1029A8062FBD}"/>
                </a:ext>
              </a:extLst>
            </xdr:cNvPr>
            <xdr:cNvGrpSpPr/>
          </xdr:nvGrpSpPr>
          <xdr:grpSpPr>
            <a:xfrm>
              <a:off x="10177181" y="571500"/>
              <a:ext cx="2777397" cy="1143000"/>
              <a:chOff x="10144125" y="2019300"/>
              <a:chExt cx="2801476" cy="1143000"/>
            </a:xfrm>
          </xdr:grpSpPr>
          <xdr:sp macro="" textlink="">
            <xdr:nvSpPr>
              <xdr:cNvPr id="15" name="TextBox 14">
                <a:extLst>
                  <a:ext uri="{FF2B5EF4-FFF2-40B4-BE49-F238E27FC236}">
                    <a16:creationId xmlns:a16="http://schemas.microsoft.com/office/drawing/2014/main" id="{96718A81-7B2B-45C8-9469-D5C50871F7E1}"/>
                  </a:ext>
                </a:extLst>
              </xdr:cNvPr>
              <xdr:cNvSpPr txBox="1"/>
            </xdr:nvSpPr>
            <xdr:spPr>
              <a:xfrm>
                <a:off x="10848975" y="2019300"/>
                <a:ext cx="2096626" cy="979714"/>
              </a:xfrm>
              <a:prstGeom prst="rect">
                <a:avLst/>
              </a:prstGeom>
              <a:solidFill>
                <a:schemeClr val="bg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8-bit</a:t>
                </a:r>
                <a:r>
                  <a:rPr lang="en-GB" sz="1800" baseline="0"/>
                  <a:t> or 1-Byte of Key which breaks down into 16-Bytes</a:t>
                </a:r>
                <a:endParaRPr lang="en-GB" sz="1800"/>
              </a:p>
            </xdr:txBody>
          </xdr:sp>
          <xdr:cxnSp macro="">
            <xdr:nvCxnSpPr>
              <xdr:cNvPr id="18" name="Straight Arrow Connector 17">
                <a:extLst>
                  <a:ext uri="{FF2B5EF4-FFF2-40B4-BE49-F238E27FC236}">
                    <a16:creationId xmlns:a16="http://schemas.microsoft.com/office/drawing/2014/main" id="{8D3E1221-16DB-48B7-A39A-69EBEB407BE5}"/>
                  </a:ext>
                </a:extLst>
              </xdr:cNvPr>
              <xdr:cNvCxnSpPr>
                <a:stCxn id="15" idx="1"/>
              </xdr:cNvCxnSpPr>
            </xdr:nvCxnSpPr>
            <xdr:spPr>
              <a:xfrm flipH="1">
                <a:off x="10144125" y="2509157"/>
                <a:ext cx="704851" cy="653143"/>
              </a:xfrm>
              <a:prstGeom prst="straightConnector1">
                <a:avLst/>
              </a:prstGeom>
              <a:ln w="381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24" name="Group 23">
              <a:extLst>
                <a:ext uri="{FF2B5EF4-FFF2-40B4-BE49-F238E27FC236}">
                  <a16:creationId xmlns:a16="http://schemas.microsoft.com/office/drawing/2014/main" id="{F491E348-831C-41F0-8F19-D40C2DD73A89}"/>
                </a:ext>
              </a:extLst>
            </xdr:cNvPr>
            <xdr:cNvGrpSpPr/>
          </xdr:nvGrpSpPr>
          <xdr:grpSpPr>
            <a:xfrm rot="16200000">
              <a:off x="828692" y="1912116"/>
              <a:ext cx="3398210" cy="4407606"/>
              <a:chOff x="2278050" y="158785"/>
              <a:chExt cx="7929151" cy="3203541"/>
            </a:xfrm>
          </xdr:grpSpPr>
          <xdr:sp macro="" textlink="">
            <xdr:nvSpPr>
              <xdr:cNvPr id="25" name="TextBox 24">
                <a:extLst>
                  <a:ext uri="{FF2B5EF4-FFF2-40B4-BE49-F238E27FC236}">
                    <a16:creationId xmlns:a16="http://schemas.microsoft.com/office/drawing/2014/main" id="{CDEE5E6A-4298-47CA-B5B6-6FEA41C2FEB2}"/>
                  </a:ext>
                </a:extLst>
              </xdr:cNvPr>
              <xdr:cNvSpPr txBox="1"/>
            </xdr:nvSpPr>
            <xdr:spPr>
              <a:xfrm rot="5400000">
                <a:off x="4892741" y="-2455906"/>
                <a:ext cx="2699769" cy="7929151"/>
              </a:xfrm>
              <a:prstGeom prst="rect">
                <a:avLst/>
              </a:prstGeom>
              <a:solidFill>
                <a:schemeClr val="bg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Notice</a:t>
                </a:r>
                <a:r>
                  <a:rPr lang="en-GB" sz="1800"/>
                  <a:t>: only the last 32-bit</a:t>
                </a:r>
                <a:r>
                  <a:rPr lang="en-GB" sz="1800" baseline="0"/>
                  <a:t> Word goes though this section.</a:t>
                </a:r>
              </a:p>
              <a:p>
                <a:endParaRPr lang="en-GB" sz="1800" baseline="0"/>
              </a:p>
              <a:p>
                <a:r>
                  <a:rPr lang="en-GB" sz="1800" b="1" baseline="0"/>
                  <a:t>RotWord</a:t>
                </a:r>
                <a:r>
                  <a:rPr lang="en-GB" sz="1800" baseline="0"/>
                  <a:t>:  Rotates the last 32-bit word by 1-Byte to the left like in Shift Rows.</a:t>
                </a:r>
              </a:p>
              <a:p>
                <a:endParaRPr lang="en-GB" sz="1800" baseline="0"/>
              </a:p>
              <a:p>
                <a:r>
                  <a:rPr lang="en-GB" sz="1800" b="1" baseline="0"/>
                  <a:t>SubWord</a:t>
                </a:r>
                <a:r>
                  <a:rPr lang="en-GB" sz="1800" baseline="0"/>
                  <a:t>: Substitutes each byte in the 32-bit word from the AES S-box.</a:t>
                </a:r>
              </a:p>
              <a:p>
                <a:endParaRPr lang="en-GB" sz="1800" baseline="0"/>
              </a:p>
              <a:p>
                <a:r>
                  <a:rPr lang="en-GB" sz="1800" b="1" baseline="0"/>
                  <a:t>Rcon</a:t>
                </a:r>
                <a:r>
                  <a:rPr lang="en-GB" sz="1800" baseline="0"/>
                  <a:t>: XOR the first byte from the first word of the previous key against the value of Rcon for the current round. This value is determined in the Understanding RCON section.</a:t>
                </a:r>
              </a:p>
              <a:p>
                <a:endParaRPr lang="en-GB" sz="1100" baseline="0"/>
              </a:p>
              <a:p>
                <a:endParaRPr lang="en-GB" sz="1100" baseline="0"/>
              </a:p>
              <a:p>
                <a:endParaRPr lang="en-GB" sz="1100" baseline="0"/>
              </a:p>
              <a:p>
                <a:endParaRPr lang="en-GB" sz="1100"/>
              </a:p>
            </xdr:txBody>
          </xdr:sp>
          <xdr:sp macro="" textlink="">
            <xdr:nvSpPr>
              <xdr:cNvPr id="26" name="Left Brace 25">
                <a:extLst>
                  <a:ext uri="{FF2B5EF4-FFF2-40B4-BE49-F238E27FC236}">
                    <a16:creationId xmlns:a16="http://schemas.microsoft.com/office/drawing/2014/main" id="{37ECEF4C-3BC0-43DB-A732-8BB955F1D8AC}"/>
                  </a:ext>
                </a:extLst>
              </xdr:cNvPr>
              <xdr:cNvSpPr/>
            </xdr:nvSpPr>
            <xdr:spPr>
              <a:xfrm rot="5400000">
                <a:off x="6150151" y="1111427"/>
                <a:ext cx="367948" cy="4133850"/>
              </a:xfrm>
              <a:prstGeom prst="leftBrace">
                <a:avLst>
                  <a:gd name="adj1" fmla="val 8333"/>
                  <a:gd name="adj2" fmla="val 45869"/>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grpSp>
        <xdr:grpSp>
          <xdr:nvGrpSpPr>
            <xdr:cNvPr id="32" name="Group 31">
              <a:extLst>
                <a:ext uri="{FF2B5EF4-FFF2-40B4-BE49-F238E27FC236}">
                  <a16:creationId xmlns:a16="http://schemas.microsoft.com/office/drawing/2014/main" id="{82F4F39B-B24C-44D7-B884-1FBB0DFE9003}"/>
                </a:ext>
              </a:extLst>
            </xdr:cNvPr>
            <xdr:cNvGrpSpPr/>
          </xdr:nvGrpSpPr>
          <xdr:grpSpPr>
            <a:xfrm>
              <a:off x="10110508" y="2775858"/>
              <a:ext cx="3355213" cy="1279071"/>
              <a:chOff x="9353550" y="1366158"/>
              <a:chExt cx="3378945" cy="1279071"/>
            </a:xfrm>
          </xdr:grpSpPr>
          <xdr:sp macro="" textlink="">
            <xdr:nvSpPr>
              <xdr:cNvPr id="33" name="TextBox 32">
                <a:extLst>
                  <a:ext uri="{FF2B5EF4-FFF2-40B4-BE49-F238E27FC236}">
                    <a16:creationId xmlns:a16="http://schemas.microsoft.com/office/drawing/2014/main" id="{07D8225D-D209-4063-952B-283D71507BDA}"/>
                  </a:ext>
                </a:extLst>
              </xdr:cNvPr>
              <xdr:cNvSpPr txBox="1"/>
            </xdr:nvSpPr>
            <xdr:spPr>
              <a:xfrm>
                <a:off x="9886950" y="1366158"/>
                <a:ext cx="2845545" cy="1279071"/>
              </a:xfrm>
              <a:prstGeom prst="rect">
                <a:avLst/>
              </a:prstGeom>
              <a:solidFill>
                <a:schemeClr val="bg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Each word</a:t>
                </a:r>
                <a:r>
                  <a:rPr lang="en-GB" sz="1800" baseline="0"/>
                  <a:t> of the new Key created is XOR'd with the next word of the previous key</a:t>
                </a:r>
                <a:endParaRPr lang="en-GB" sz="1800"/>
              </a:p>
            </xdr:txBody>
          </xdr:sp>
          <xdr:cxnSp macro="">
            <xdr:nvCxnSpPr>
              <xdr:cNvPr id="34" name="Straight Arrow Connector 33">
                <a:extLst>
                  <a:ext uri="{FF2B5EF4-FFF2-40B4-BE49-F238E27FC236}">
                    <a16:creationId xmlns:a16="http://schemas.microsoft.com/office/drawing/2014/main" id="{3FBE0584-5EDA-4CD0-8EBE-1820DFE853AF}"/>
                  </a:ext>
                </a:extLst>
              </xdr:cNvPr>
              <xdr:cNvCxnSpPr>
                <a:stCxn id="33" idx="1"/>
              </xdr:cNvCxnSpPr>
            </xdr:nvCxnSpPr>
            <xdr:spPr>
              <a:xfrm flipH="1">
                <a:off x="9353550" y="2005694"/>
                <a:ext cx="533400" cy="308882"/>
              </a:xfrm>
              <a:prstGeom prst="straightConnector1">
                <a:avLst/>
              </a:prstGeom>
              <a:ln w="381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38" name="Group 37">
              <a:extLst>
                <a:ext uri="{FF2B5EF4-FFF2-40B4-BE49-F238E27FC236}">
                  <a16:creationId xmlns:a16="http://schemas.microsoft.com/office/drawing/2014/main" id="{9448AA3A-9F90-408A-8DD9-C3C4E6DA30F3}"/>
                </a:ext>
              </a:extLst>
            </xdr:cNvPr>
            <xdr:cNvGrpSpPr/>
          </xdr:nvGrpSpPr>
          <xdr:grpSpPr>
            <a:xfrm>
              <a:off x="10620375" y="4422321"/>
              <a:ext cx="3020210" cy="1483179"/>
              <a:chOff x="9353550" y="1660071"/>
              <a:chExt cx="3041573" cy="1483179"/>
            </a:xfrm>
          </xdr:grpSpPr>
          <xdr:sp macro="" textlink="">
            <xdr:nvSpPr>
              <xdr:cNvPr id="39" name="TextBox 38">
                <a:extLst>
                  <a:ext uri="{FF2B5EF4-FFF2-40B4-BE49-F238E27FC236}">
                    <a16:creationId xmlns:a16="http://schemas.microsoft.com/office/drawing/2014/main" id="{53F27221-292A-41C4-A016-1416EF3C5B68}"/>
                  </a:ext>
                </a:extLst>
              </xdr:cNvPr>
              <xdr:cNvSpPr txBox="1"/>
            </xdr:nvSpPr>
            <xdr:spPr>
              <a:xfrm>
                <a:off x="9886950" y="1660071"/>
                <a:ext cx="2508173" cy="1483179"/>
              </a:xfrm>
              <a:prstGeom prst="rect">
                <a:avLst/>
              </a:prstGeom>
              <a:solidFill>
                <a:schemeClr val="bg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After last word is found through XOR the process</a:t>
                </a:r>
                <a:r>
                  <a:rPr lang="en-GB" sz="1800" baseline="0"/>
                  <a:t> repeats  for n rounds in this case 10 for 128-bit keys.</a:t>
                </a:r>
                <a:endParaRPr lang="en-GB" sz="1800"/>
              </a:p>
            </xdr:txBody>
          </xdr:sp>
          <xdr:cxnSp macro="">
            <xdr:nvCxnSpPr>
              <xdr:cNvPr id="40" name="Straight Arrow Connector 39">
                <a:extLst>
                  <a:ext uri="{FF2B5EF4-FFF2-40B4-BE49-F238E27FC236}">
                    <a16:creationId xmlns:a16="http://schemas.microsoft.com/office/drawing/2014/main" id="{A35EF027-8F7E-4E76-A967-3538A5C803A6}"/>
                  </a:ext>
                </a:extLst>
              </xdr:cNvPr>
              <xdr:cNvCxnSpPr>
                <a:stCxn id="39" idx="1"/>
              </xdr:cNvCxnSpPr>
            </xdr:nvCxnSpPr>
            <xdr:spPr>
              <a:xfrm flipH="1" flipV="1">
                <a:off x="9353550" y="2314577"/>
                <a:ext cx="533400" cy="87084"/>
              </a:xfrm>
              <a:prstGeom prst="straightConnector1">
                <a:avLst/>
              </a:prstGeom>
              <a:ln w="381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grpSp>
    </xdr:grpSp>
    <xdr:clientData/>
  </xdr:twoCellAnchor>
  <xdr:twoCellAnchor editAs="oneCell">
    <xdr:from>
      <xdr:col>16</xdr:col>
      <xdr:colOff>64078</xdr:colOff>
      <xdr:row>3</xdr:row>
      <xdr:rowOff>69273</xdr:rowOff>
    </xdr:from>
    <xdr:to>
      <xdr:col>24</xdr:col>
      <xdr:colOff>96529</xdr:colOff>
      <xdr:row>35</xdr:row>
      <xdr:rowOff>121227</xdr:rowOff>
    </xdr:to>
    <xdr:pic>
      <xdr:nvPicPr>
        <xdr:cNvPr id="12" name="Picture 11">
          <a:extLst>
            <a:ext uri="{FF2B5EF4-FFF2-40B4-BE49-F238E27FC236}">
              <a16:creationId xmlns:a16="http://schemas.microsoft.com/office/drawing/2014/main" id="{E74FFBE7-B67B-4898-87B7-8BB97EC063F8}"/>
            </a:ext>
          </a:extLst>
        </xdr:cNvPr>
        <xdr:cNvPicPr>
          <a:picLocks noChangeAspect="1"/>
        </xdr:cNvPicPr>
      </xdr:nvPicPr>
      <xdr:blipFill>
        <a:blip xmlns:r="http://schemas.openxmlformats.org/officeDocument/2006/relationships" r:embed="rId2"/>
        <a:stretch>
          <a:fillRect/>
        </a:stretch>
      </xdr:blipFill>
      <xdr:spPr>
        <a:xfrm>
          <a:off x="18352078" y="744682"/>
          <a:ext cx="9176451" cy="7256318"/>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12-07T05:35:59.487"/>
    </inkml:context>
    <inkml:brush xml:id="br0">
      <inkml:brushProperty name="width" value="0.05" units="cm"/>
      <inkml:brushProperty name="height" value="0.05" units="cm"/>
    </inkml:brush>
  </inkml:definitions>
  <inkml:trace contextRef="#ctx0" brushRef="#br0">321 9 1553,'0'0'1785,"-11"-9"-2146,2 9-1640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2-17T14:59:54.783"/>
    </inkml:context>
    <inkml:brush xml:id="br0">
      <inkml:brushProperty name="width" value="0.05" units="cm"/>
      <inkml:brushProperty name="height" value="0.05" units="cm"/>
      <inkml:brushProperty name="color" value="#E71224"/>
    </inkml:brush>
  </inkml:definitions>
  <inkml:trace contextRef="#ctx0" brushRef="#br0">0 1 2161,'0'0'1072</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11-10T13:35:02.049"/>
    </inkml:context>
    <inkml:brush xml:id="br0">
      <inkml:brushProperty name="width" value="0.05" units="cm"/>
      <inkml:brushProperty name="height" value="0.05" units="cm"/>
    </inkml:brush>
  </inkml:definitions>
  <inkml:trace contextRef="#ctx0" brushRef="#br0">9887 416 3105,'0'0'1921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11-10T13:35:42.333"/>
    </inkml:context>
    <inkml:brush xml:id="br0">
      <inkml:brushProperty name="width" value="0.05" units="cm"/>
      <inkml:brushProperty name="height" value="0.05" units="cm"/>
    </inkml:brush>
  </inkml:definitions>
  <inkml:trace contextRef="#ctx0" brushRef="#br0">9250 2108 912,'0'0'619,"0"-2"441,0 4-2691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11-10T13:58:16.987"/>
    </inkml:context>
    <inkml:brush xml:id="br0">
      <inkml:brushProperty name="width" value="0.05" units="cm"/>
      <inkml:brushProperty name="height" value="0.05" units="cm"/>
    </inkml:brush>
  </inkml:definitions>
  <inkml:trace contextRef="#ctx0" brushRef="#br0">1699 181 448,'0'0'16</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12-06T18:37:34.731"/>
    </inkml:context>
    <inkml:brush xml:id="br0">
      <inkml:brushProperty name="width" value="0.05" units="cm"/>
      <inkml:brushProperty name="height" value="0.05" units="cm"/>
    </inkml:brush>
  </inkml:definitions>
  <inkml:trace contextRef="#ctx0" brushRef="#br0">292 19 2753,'0'0'1825,"0"-6"-6403</inkml:trace>
  <inkml:trace contextRef="#ctx0" brushRef="#br0" timeOffset="1">292 19 2289</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12-06T18:37:34.752"/>
    </inkml:context>
    <inkml:brush xml:id="br0">
      <inkml:brushProperty name="width" value="0.05" units="cm"/>
      <inkml:brushProperty name="height" value="0.05" units="cm"/>
    </inkml:brush>
  </inkml:definitions>
  <inkml:trace contextRef="#ctx0" brushRef="#br0">321 9 1553,'0'0'1785,"-11"-9"-2146,2 9-1640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12-07T23:56:49.696"/>
    </inkml:context>
    <inkml:brush xml:id="br0">
      <inkml:brushProperty name="width" value="0.05" units="cm"/>
      <inkml:brushProperty name="height" value="0.05" units="cm"/>
    </inkml:brush>
  </inkml:definitions>
  <inkml:trace contextRef="#ctx0" brushRef="#br0">9887 416 3105,'0'0'1921</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0-12-07T23:56:49.697"/>
    </inkml:context>
    <inkml:brush xml:id="br0">
      <inkml:brushProperty name="width" value="0.05" units="cm"/>
      <inkml:brushProperty name="height" value="0.05" units="cm"/>
    </inkml:brush>
  </inkml:definitions>
  <inkml:trace contextRef="#ctx0" brushRef="#br0">1699 181 448,'0'0'16</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2-17T03:25:09.036"/>
    </inkml:context>
    <inkml:brush xml:id="br0">
      <inkml:brushProperty name="width" value="0.05" units="cm"/>
      <inkml:brushProperty name="height" value="0.05" units="cm"/>
      <inkml:brushProperty name="color" value="#E71224"/>
    </inkml:brush>
  </inkml:definitions>
  <inkml:trace contextRef="#ctx0" brushRef="#br0">0 1 2161,'0'0'1072</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2-20T05:15:33.017"/>
    </inkml:context>
    <inkml:brush xml:id="br0">
      <inkml:brushProperty name="width" value="0.05" units="cm"/>
      <inkml:brushProperty name="height" value="0.05" units="cm"/>
    </inkml:brush>
  </inkml:definitions>
  <inkml:trace contextRef="#ctx0" brushRef="#br0">292 19 2753,'0'0'1825,"0"-6"-6403</inkml:trace>
  <inkml:trace contextRef="#ctx0" brushRef="#br0" timeOffset="1">292 19 2289</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04-03T19:52:12.764"/>
    </inkml:context>
    <inkml:brush xml:id="br0">
      <inkml:brushProperty name="width" value="0.05" units="cm"/>
      <inkml:brushProperty name="height" value="0.05" units="cm"/>
    </inkml:brush>
  </inkml:definitions>
  <inkml:trace contextRef="#ctx0" brushRef="#br0">1699 181 448,'0'0'16</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B7707-7D1C-4431-BC62-4D105DC8A383}">
  <sheetPr codeName="Sheet6"/>
  <dimension ref="A1:AC34"/>
  <sheetViews>
    <sheetView zoomScale="70" zoomScaleNormal="70" workbookViewId="0">
      <selection activeCell="U31" sqref="U31"/>
    </sheetView>
  </sheetViews>
  <sheetFormatPr defaultRowHeight="15" x14ac:dyDescent="0.25"/>
  <sheetData>
    <row r="1" spans="1:29" ht="23.25" customHeight="1" x14ac:dyDescent="0.25">
      <c r="A1" s="398" t="s">
        <v>492</v>
      </c>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row>
    <row r="2" spans="1:29" ht="23.25" customHeight="1" x14ac:dyDescent="0.25">
      <c r="A2" s="398"/>
      <c r="B2" s="398"/>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row>
    <row r="3" spans="1:29" ht="23.25" customHeight="1" x14ac:dyDescent="0.25">
      <c r="A3" s="397" t="s">
        <v>494</v>
      </c>
      <c r="B3" s="397"/>
      <c r="C3" s="397"/>
      <c r="D3" s="397"/>
      <c r="E3" s="397"/>
      <c r="F3" s="397"/>
      <c r="G3" s="397"/>
      <c r="H3" s="397"/>
      <c r="I3" s="397"/>
      <c r="J3" s="397"/>
      <c r="K3" s="397"/>
      <c r="L3" s="397"/>
      <c r="M3" s="397"/>
      <c r="N3" s="397"/>
      <c r="O3" s="397"/>
      <c r="P3" s="397"/>
      <c r="Q3" s="397"/>
      <c r="R3" s="397"/>
      <c r="S3" s="397"/>
      <c r="T3" s="397"/>
      <c r="U3" s="397"/>
      <c r="V3" s="397"/>
      <c r="W3" s="397"/>
      <c r="X3" s="397"/>
      <c r="Y3" s="397"/>
      <c r="Z3" s="397"/>
      <c r="AA3" s="397"/>
      <c r="AB3" s="397"/>
      <c r="AC3" s="397"/>
    </row>
    <row r="4" spans="1:29" ht="23.25" customHeight="1" x14ac:dyDescent="0.25">
      <c r="A4" s="397"/>
      <c r="B4" s="397"/>
      <c r="C4" s="397"/>
      <c r="D4" s="397"/>
      <c r="E4" s="397"/>
      <c r="F4" s="397"/>
      <c r="G4" s="397"/>
      <c r="H4" s="397"/>
      <c r="I4" s="397"/>
      <c r="J4" s="397"/>
      <c r="K4" s="397"/>
      <c r="L4" s="397"/>
      <c r="M4" s="397"/>
      <c r="N4" s="397"/>
      <c r="O4" s="397"/>
      <c r="P4" s="397"/>
      <c r="Q4" s="397"/>
      <c r="R4" s="397"/>
      <c r="S4" s="397"/>
      <c r="T4" s="397"/>
      <c r="U4" s="397"/>
      <c r="V4" s="397"/>
      <c r="W4" s="397"/>
      <c r="X4" s="397"/>
      <c r="Y4" s="397"/>
      <c r="Z4" s="397"/>
      <c r="AA4" s="397"/>
      <c r="AB4" s="397"/>
      <c r="AC4" s="397"/>
    </row>
    <row r="5" spans="1:29" ht="23.25" customHeight="1" x14ac:dyDescent="0.25">
      <c r="A5" s="397"/>
      <c r="B5" s="397"/>
      <c r="C5" s="397"/>
      <c r="D5" s="397"/>
      <c r="E5" s="397"/>
      <c r="F5" s="397"/>
      <c r="G5" s="397"/>
      <c r="H5" s="397"/>
      <c r="I5" s="397"/>
      <c r="J5" s="397"/>
      <c r="K5" s="397"/>
      <c r="L5" s="397"/>
      <c r="M5" s="397"/>
      <c r="N5" s="397"/>
      <c r="O5" s="397"/>
      <c r="P5" s="397"/>
      <c r="Q5" s="397"/>
      <c r="R5" s="397"/>
      <c r="S5" s="397"/>
      <c r="T5" s="397"/>
      <c r="U5" s="397"/>
      <c r="V5" s="397"/>
      <c r="W5" s="397"/>
      <c r="X5" s="397"/>
      <c r="Y5" s="397"/>
      <c r="Z5" s="397"/>
      <c r="AA5" s="397"/>
      <c r="AB5" s="397"/>
      <c r="AC5" s="397"/>
    </row>
    <row r="6" spans="1:29" ht="23.25" customHeight="1" x14ac:dyDescent="0.25">
      <c r="A6" s="397"/>
      <c r="B6" s="397"/>
      <c r="C6" s="397"/>
      <c r="D6" s="397"/>
      <c r="E6" s="397"/>
      <c r="F6" s="397"/>
      <c r="G6" s="397"/>
      <c r="H6" s="397"/>
      <c r="I6" s="397"/>
      <c r="J6" s="397"/>
      <c r="K6" s="397"/>
      <c r="L6" s="397"/>
      <c r="M6" s="397"/>
      <c r="N6" s="397"/>
      <c r="O6" s="397"/>
      <c r="P6" s="397"/>
      <c r="Q6" s="397"/>
      <c r="R6" s="397"/>
      <c r="S6" s="397"/>
      <c r="T6" s="397"/>
      <c r="U6" s="397"/>
      <c r="V6" s="397"/>
      <c r="W6" s="397"/>
      <c r="X6" s="397"/>
      <c r="Y6" s="397"/>
      <c r="Z6" s="397"/>
      <c r="AA6" s="397"/>
      <c r="AB6" s="397"/>
      <c r="AC6" s="397"/>
    </row>
    <row r="7" spans="1:29" ht="23.25" customHeight="1" x14ac:dyDescent="0.25">
      <c r="A7" s="399" t="s">
        <v>351</v>
      </c>
      <c r="B7" s="399"/>
      <c r="C7" s="399"/>
      <c r="D7" s="399"/>
      <c r="E7" s="399"/>
      <c r="F7" s="399"/>
      <c r="G7" s="399"/>
      <c r="H7" s="399"/>
      <c r="I7" s="399"/>
      <c r="J7" s="399"/>
      <c r="K7" s="399"/>
      <c r="L7" s="399"/>
      <c r="M7" s="399"/>
      <c r="N7" s="399"/>
      <c r="O7" s="399"/>
      <c r="P7" s="399"/>
      <c r="Q7" s="399"/>
      <c r="R7" s="399"/>
      <c r="S7" s="399"/>
      <c r="T7" s="399"/>
      <c r="U7" s="399"/>
      <c r="V7" s="399"/>
      <c r="W7" s="399"/>
      <c r="X7" s="399"/>
      <c r="Y7" s="399"/>
      <c r="Z7" s="399"/>
      <c r="AA7" s="399"/>
      <c r="AB7" s="399"/>
      <c r="AC7" s="399"/>
    </row>
    <row r="8" spans="1:29" ht="23.25" customHeight="1" x14ac:dyDescent="0.25">
      <c r="A8" s="399"/>
      <c r="B8" s="399"/>
      <c r="C8" s="399"/>
      <c r="D8" s="399"/>
      <c r="E8" s="399"/>
      <c r="F8" s="399"/>
      <c r="G8" s="399"/>
      <c r="H8" s="399"/>
      <c r="I8" s="399"/>
      <c r="J8" s="399"/>
      <c r="K8" s="399"/>
      <c r="L8" s="399"/>
      <c r="M8" s="399"/>
      <c r="N8" s="399"/>
      <c r="O8" s="399"/>
      <c r="P8" s="399"/>
      <c r="Q8" s="399"/>
      <c r="R8" s="399"/>
      <c r="S8" s="399"/>
      <c r="T8" s="399"/>
      <c r="U8" s="399"/>
      <c r="V8" s="399"/>
      <c r="W8" s="399"/>
      <c r="X8" s="399"/>
      <c r="Y8" s="399"/>
      <c r="Z8" s="399"/>
      <c r="AA8" s="399"/>
      <c r="AB8" s="399"/>
      <c r="AC8" s="399"/>
    </row>
    <row r="9" spans="1:29" ht="23.25" customHeight="1" x14ac:dyDescent="0.25">
      <c r="A9" s="393" t="s">
        <v>388</v>
      </c>
      <c r="B9" s="393"/>
      <c r="C9" s="393"/>
      <c r="D9" s="393"/>
      <c r="E9" s="393"/>
      <c r="F9" s="393"/>
      <c r="G9" s="393"/>
      <c r="H9" s="393"/>
      <c r="I9" s="393"/>
      <c r="J9" s="393"/>
      <c r="K9" s="393"/>
      <c r="L9" s="393"/>
      <c r="M9" s="393"/>
      <c r="N9" s="393"/>
      <c r="O9" s="393"/>
      <c r="P9" s="393"/>
      <c r="Q9" s="393"/>
      <c r="R9" s="393"/>
      <c r="S9" s="393"/>
      <c r="T9" s="393"/>
      <c r="U9" s="393"/>
      <c r="V9" s="393"/>
      <c r="W9" s="393"/>
      <c r="X9" s="393"/>
      <c r="Y9" s="393"/>
      <c r="Z9" s="393"/>
      <c r="AA9" s="393"/>
      <c r="AB9" s="393"/>
      <c r="AC9" s="393"/>
    </row>
    <row r="10" spans="1:29" ht="23.25" customHeight="1" x14ac:dyDescent="0.25">
      <c r="A10" s="393"/>
      <c r="B10" s="393"/>
      <c r="C10" s="393"/>
      <c r="D10" s="393"/>
      <c r="E10" s="393"/>
      <c r="F10" s="393"/>
      <c r="G10" s="393"/>
      <c r="H10" s="393"/>
      <c r="I10" s="393"/>
      <c r="J10" s="393"/>
      <c r="K10" s="393"/>
      <c r="L10" s="393"/>
      <c r="M10" s="393"/>
      <c r="N10" s="393"/>
      <c r="O10" s="393"/>
      <c r="P10" s="393"/>
      <c r="Q10" s="393"/>
      <c r="R10" s="393"/>
      <c r="S10" s="393"/>
      <c r="T10" s="393"/>
      <c r="U10" s="393"/>
      <c r="V10" s="393"/>
      <c r="W10" s="393"/>
      <c r="X10" s="393"/>
      <c r="Y10" s="393"/>
      <c r="Z10" s="393"/>
      <c r="AA10" s="393"/>
      <c r="AB10" s="393"/>
      <c r="AC10" s="393"/>
    </row>
    <row r="11" spans="1:29" ht="23.25" customHeight="1" x14ac:dyDescent="0.25">
      <c r="A11" s="335" t="s">
        <v>389</v>
      </c>
      <c r="B11" s="335"/>
      <c r="C11" s="335"/>
      <c r="D11" s="335"/>
      <c r="E11" s="335"/>
      <c r="F11" s="335"/>
      <c r="G11" s="335"/>
      <c r="H11" s="335"/>
      <c r="I11" s="335"/>
      <c r="J11" s="335"/>
      <c r="K11" s="335"/>
      <c r="L11" s="335"/>
      <c r="M11" s="335"/>
      <c r="N11" s="335"/>
      <c r="O11" s="335"/>
      <c r="P11" s="335"/>
      <c r="Q11" s="335"/>
      <c r="R11" s="335"/>
      <c r="S11" s="335"/>
      <c r="T11" s="335"/>
      <c r="U11" s="335"/>
      <c r="V11" s="335"/>
      <c r="W11" s="335"/>
      <c r="X11" s="335"/>
      <c r="Y11" s="335"/>
      <c r="Z11" s="335"/>
      <c r="AA11" s="335"/>
      <c r="AB11" s="335"/>
      <c r="AC11" s="335"/>
    </row>
    <row r="12" spans="1:29" x14ac:dyDescent="0.25">
      <c r="A12" s="335"/>
      <c r="B12" s="335"/>
      <c r="C12" s="335"/>
      <c r="D12" s="335"/>
      <c r="E12" s="335"/>
      <c r="F12" s="335"/>
      <c r="G12" s="335"/>
      <c r="H12" s="335"/>
      <c r="I12" s="335"/>
      <c r="J12" s="335"/>
      <c r="K12" s="335"/>
      <c r="L12" s="335"/>
      <c r="M12" s="335"/>
      <c r="N12" s="335"/>
      <c r="O12" s="335"/>
      <c r="P12" s="335"/>
      <c r="Q12" s="335"/>
      <c r="R12" s="335"/>
      <c r="S12" s="335"/>
      <c r="T12" s="335"/>
      <c r="U12" s="335"/>
      <c r="V12" s="335"/>
      <c r="W12" s="335"/>
      <c r="X12" s="335"/>
      <c r="Y12" s="335"/>
      <c r="Z12" s="335"/>
      <c r="AA12" s="335"/>
      <c r="AB12" s="335"/>
      <c r="AC12" s="335"/>
    </row>
    <row r="13" spans="1:29" ht="23.25" customHeight="1" x14ac:dyDescent="0.25">
      <c r="A13" s="335" t="s">
        <v>390</v>
      </c>
      <c r="B13" s="335"/>
      <c r="C13" s="335"/>
      <c r="D13" s="335"/>
      <c r="E13" s="335"/>
      <c r="F13" s="335"/>
      <c r="G13" s="335"/>
      <c r="H13" s="335"/>
      <c r="I13" s="335"/>
      <c r="J13" s="335"/>
      <c r="K13" s="335"/>
      <c r="L13" s="335"/>
      <c r="M13" s="335"/>
      <c r="N13" s="335"/>
      <c r="O13" s="335"/>
      <c r="P13" s="335"/>
      <c r="Q13" s="335"/>
      <c r="R13" s="335"/>
      <c r="S13" s="335"/>
      <c r="T13" s="335"/>
      <c r="U13" s="335"/>
      <c r="V13" s="335"/>
      <c r="W13" s="335"/>
      <c r="X13" s="335"/>
      <c r="Y13" s="335"/>
      <c r="Z13" s="335"/>
      <c r="AA13" s="335"/>
      <c r="AB13" s="335"/>
      <c r="AC13" s="335"/>
    </row>
    <row r="14" spans="1:29" x14ac:dyDescent="0.25">
      <c r="A14" s="335"/>
      <c r="B14" s="335"/>
      <c r="C14" s="335"/>
      <c r="D14" s="335"/>
      <c r="E14" s="335"/>
      <c r="F14" s="335"/>
      <c r="G14" s="335"/>
      <c r="H14" s="335"/>
      <c r="I14" s="335"/>
      <c r="J14" s="335"/>
      <c r="K14" s="335"/>
      <c r="L14" s="335"/>
      <c r="M14" s="335"/>
      <c r="N14" s="335"/>
      <c r="O14" s="335"/>
      <c r="P14" s="335"/>
      <c r="Q14" s="335"/>
      <c r="R14" s="335"/>
      <c r="S14" s="335"/>
      <c r="T14" s="335"/>
      <c r="U14" s="335"/>
      <c r="V14" s="335"/>
      <c r="W14" s="335"/>
      <c r="X14" s="335"/>
      <c r="Y14" s="335"/>
      <c r="Z14" s="335"/>
      <c r="AA14" s="335"/>
      <c r="AB14" s="335"/>
      <c r="AC14" s="335"/>
    </row>
    <row r="15" spans="1:29" x14ac:dyDescent="0.25">
      <c r="A15" s="335" t="s">
        <v>387</v>
      </c>
      <c r="B15" s="335"/>
      <c r="C15" s="335"/>
      <c r="D15" s="335"/>
      <c r="E15" s="335"/>
      <c r="F15" s="335"/>
      <c r="G15" s="335"/>
      <c r="H15" s="335"/>
      <c r="I15" s="335"/>
      <c r="J15" s="335"/>
      <c r="K15" s="335"/>
      <c r="L15" s="335"/>
      <c r="M15" s="335"/>
      <c r="N15" s="335"/>
      <c r="O15" s="335"/>
      <c r="P15" s="335"/>
      <c r="Q15" s="335"/>
      <c r="R15" s="335"/>
      <c r="S15" s="335"/>
      <c r="T15" s="335"/>
      <c r="U15" s="335"/>
      <c r="V15" s="335"/>
      <c r="W15" s="335"/>
      <c r="X15" s="335"/>
      <c r="Y15" s="335"/>
      <c r="Z15" s="335"/>
      <c r="AA15" s="335"/>
      <c r="AB15" s="335"/>
      <c r="AC15" s="335"/>
    </row>
    <row r="16" spans="1:29" x14ac:dyDescent="0.25">
      <c r="A16" s="335"/>
      <c r="B16" s="335"/>
      <c r="C16" s="335"/>
      <c r="D16" s="335"/>
      <c r="E16" s="335"/>
      <c r="F16" s="335"/>
      <c r="G16" s="335"/>
      <c r="H16" s="335"/>
      <c r="I16" s="335"/>
      <c r="J16" s="335"/>
      <c r="K16" s="335"/>
      <c r="L16" s="335"/>
      <c r="M16" s="335"/>
      <c r="N16" s="335"/>
      <c r="O16" s="335"/>
      <c r="P16" s="335"/>
      <c r="Q16" s="335"/>
      <c r="R16" s="335"/>
      <c r="S16" s="335"/>
      <c r="T16" s="335"/>
      <c r="U16" s="335"/>
      <c r="V16" s="335"/>
      <c r="W16" s="335"/>
      <c r="X16" s="335"/>
      <c r="Y16" s="335"/>
      <c r="Z16" s="335"/>
      <c r="AA16" s="335"/>
      <c r="AB16" s="335"/>
      <c r="AC16" s="335"/>
    </row>
    <row r="17" spans="1:29" x14ac:dyDescent="0.25">
      <c r="A17" s="335" t="s">
        <v>386</v>
      </c>
      <c r="B17" s="335"/>
      <c r="C17" s="335"/>
      <c r="D17" s="335"/>
      <c r="E17" s="335"/>
      <c r="F17" s="335"/>
      <c r="G17" s="335"/>
      <c r="H17" s="335"/>
      <c r="I17" s="335"/>
      <c r="J17" s="335"/>
      <c r="K17" s="335"/>
      <c r="L17" s="335"/>
      <c r="M17" s="335"/>
      <c r="N17" s="335"/>
      <c r="O17" s="335"/>
      <c r="P17" s="335"/>
      <c r="Q17" s="335"/>
      <c r="R17" s="335"/>
      <c r="S17" s="335"/>
      <c r="T17" s="335"/>
      <c r="U17" s="335"/>
      <c r="V17" s="335"/>
      <c r="W17" s="335"/>
      <c r="X17" s="335"/>
      <c r="Y17" s="335"/>
      <c r="Z17" s="335"/>
      <c r="AA17" s="335"/>
      <c r="AB17" s="335"/>
      <c r="AC17" s="335"/>
    </row>
    <row r="18" spans="1:29" x14ac:dyDescent="0.25">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c r="Y18" s="335"/>
      <c r="Z18" s="335"/>
      <c r="AA18" s="335"/>
      <c r="AB18" s="335"/>
      <c r="AC18" s="335"/>
    </row>
    <row r="19" spans="1:29" x14ac:dyDescent="0.25">
      <c r="A19" s="335" t="s">
        <v>391</v>
      </c>
      <c r="B19" s="335"/>
      <c r="C19" s="335"/>
      <c r="D19" s="335"/>
      <c r="E19" s="335"/>
      <c r="F19" s="335"/>
      <c r="G19" s="335"/>
      <c r="H19" s="335"/>
      <c r="I19" s="335"/>
      <c r="J19" s="335"/>
      <c r="K19" s="335"/>
      <c r="L19" s="335"/>
      <c r="M19" s="335"/>
      <c r="N19" s="335"/>
      <c r="O19" s="335"/>
      <c r="P19" s="335"/>
      <c r="Q19" s="335"/>
      <c r="R19" s="335"/>
      <c r="S19" s="335"/>
      <c r="T19" s="335"/>
      <c r="U19" s="335"/>
      <c r="V19" s="335"/>
      <c r="W19" s="335"/>
      <c r="X19" s="335"/>
      <c r="Y19" s="335"/>
      <c r="Z19" s="335"/>
      <c r="AA19" s="335"/>
      <c r="AB19" s="335"/>
      <c r="AC19" s="335"/>
    </row>
    <row r="20" spans="1:29" x14ac:dyDescent="0.25">
      <c r="A20" s="335"/>
      <c r="B20" s="335"/>
      <c r="C20" s="335"/>
      <c r="D20" s="335"/>
      <c r="E20" s="335"/>
      <c r="F20" s="335"/>
      <c r="G20" s="335"/>
      <c r="H20" s="335"/>
      <c r="I20" s="335"/>
      <c r="J20" s="335"/>
      <c r="K20" s="335"/>
      <c r="L20" s="335"/>
      <c r="M20" s="335"/>
      <c r="N20" s="335"/>
      <c r="O20" s="335"/>
      <c r="P20" s="335"/>
      <c r="Q20" s="335"/>
      <c r="R20" s="335"/>
      <c r="S20" s="335"/>
      <c r="T20" s="335"/>
      <c r="U20" s="335"/>
      <c r="V20" s="335"/>
      <c r="W20" s="335"/>
      <c r="X20" s="335"/>
      <c r="Y20" s="335"/>
      <c r="Z20" s="335"/>
      <c r="AA20" s="335"/>
      <c r="AB20" s="335"/>
      <c r="AC20" s="335"/>
    </row>
    <row r="21" spans="1:29" x14ac:dyDescent="0.25">
      <c r="A21" s="398" t="s">
        <v>392</v>
      </c>
      <c r="B21" s="398"/>
      <c r="C21" s="398"/>
      <c r="D21" s="398"/>
      <c r="E21" s="398"/>
      <c r="F21" s="398"/>
      <c r="G21" s="398"/>
      <c r="H21" s="398"/>
      <c r="I21" s="398"/>
      <c r="J21" s="398"/>
      <c r="K21" s="398"/>
      <c r="L21" s="398"/>
      <c r="M21" s="398"/>
      <c r="N21" s="398"/>
      <c r="O21" s="398"/>
      <c r="P21" s="398"/>
      <c r="Q21" s="398"/>
      <c r="R21" s="398"/>
      <c r="S21" s="398"/>
      <c r="T21" s="398"/>
      <c r="U21" s="398"/>
      <c r="V21" s="398"/>
      <c r="W21" s="398"/>
      <c r="X21" s="398"/>
      <c r="Y21" s="398"/>
      <c r="Z21" s="398"/>
      <c r="AA21" s="398"/>
      <c r="AB21" s="398"/>
      <c r="AC21" s="398"/>
    </row>
    <row r="22" spans="1:29" x14ac:dyDescent="0.25">
      <c r="A22" s="398"/>
      <c r="B22" s="398"/>
      <c r="C22" s="398"/>
      <c r="D22" s="398"/>
      <c r="E22" s="398"/>
      <c r="F22" s="398"/>
      <c r="G22" s="398"/>
      <c r="H22" s="398"/>
      <c r="I22" s="398"/>
      <c r="J22" s="398"/>
      <c r="K22" s="398"/>
      <c r="L22" s="398"/>
      <c r="M22" s="398"/>
      <c r="N22" s="398"/>
      <c r="O22" s="398"/>
      <c r="P22" s="398"/>
      <c r="Q22" s="398"/>
      <c r="R22" s="398"/>
      <c r="S22" s="398"/>
      <c r="T22" s="398"/>
      <c r="U22" s="398"/>
      <c r="V22" s="398"/>
      <c r="W22" s="398"/>
      <c r="X22" s="398"/>
      <c r="Y22" s="398"/>
      <c r="Z22" s="398"/>
      <c r="AA22" s="398"/>
      <c r="AB22" s="398"/>
      <c r="AC22" s="398"/>
    </row>
    <row r="24" spans="1:29" x14ac:dyDescent="0.25">
      <c r="M24" s="333" t="s">
        <v>393</v>
      </c>
      <c r="N24" s="333"/>
      <c r="O24" s="333"/>
      <c r="P24" s="333"/>
      <c r="Q24" s="333"/>
    </row>
    <row r="25" spans="1:29" x14ac:dyDescent="0.25">
      <c r="M25" s="333"/>
      <c r="N25" s="333"/>
      <c r="O25" s="333"/>
      <c r="P25" s="333"/>
      <c r="Q25" s="333"/>
    </row>
    <row r="26" spans="1:29" x14ac:dyDescent="0.25">
      <c r="M26" s="333"/>
      <c r="N26" s="333"/>
      <c r="O26" s="333"/>
      <c r="P26" s="333"/>
      <c r="Q26" s="333"/>
    </row>
    <row r="27" spans="1:29" x14ac:dyDescent="0.25">
      <c r="M27" s="333"/>
      <c r="N27" s="333"/>
      <c r="O27" s="333"/>
      <c r="P27" s="333"/>
      <c r="Q27" s="333"/>
    </row>
    <row r="28" spans="1:29" x14ac:dyDescent="0.25">
      <c r="M28" s="333"/>
      <c r="N28" s="333"/>
      <c r="O28" s="333"/>
      <c r="P28" s="333"/>
      <c r="Q28" s="333"/>
    </row>
    <row r="30" spans="1:29" x14ac:dyDescent="0.25">
      <c r="M30" s="334" t="s">
        <v>393</v>
      </c>
      <c r="N30" s="334"/>
      <c r="O30" s="334"/>
      <c r="P30" s="334"/>
      <c r="Q30" s="334"/>
    </row>
    <row r="31" spans="1:29" x14ac:dyDescent="0.25">
      <c r="M31" s="334"/>
      <c r="N31" s="334"/>
      <c r="O31" s="334"/>
      <c r="P31" s="334"/>
      <c r="Q31" s="334"/>
    </row>
    <row r="32" spans="1:29" x14ac:dyDescent="0.25">
      <c r="M32" s="334"/>
      <c r="N32" s="334"/>
      <c r="O32" s="334"/>
      <c r="P32" s="334"/>
      <c r="Q32" s="334"/>
    </row>
    <row r="33" spans="13:17" x14ac:dyDescent="0.25">
      <c r="M33" s="334"/>
      <c r="N33" s="334"/>
      <c r="O33" s="334"/>
      <c r="P33" s="334"/>
      <c r="Q33" s="334"/>
    </row>
    <row r="34" spans="13:17" x14ac:dyDescent="0.25">
      <c r="M34" s="334"/>
      <c r="N34" s="334"/>
      <c r="O34" s="334"/>
      <c r="P34" s="334"/>
      <c r="Q34" s="334"/>
    </row>
  </sheetData>
  <sheetProtection sheet="1" objects="1" scenarios="1"/>
  <mergeCells count="12">
    <mergeCell ref="A1:AC2"/>
    <mergeCell ref="A3:AC6"/>
    <mergeCell ref="A9:AC10"/>
    <mergeCell ref="A11:AC12"/>
    <mergeCell ref="A13:AC14"/>
    <mergeCell ref="A15:AC16"/>
    <mergeCell ref="A17:AC18"/>
    <mergeCell ref="A19:AC20"/>
    <mergeCell ref="A7:AC8"/>
    <mergeCell ref="M24:Q28"/>
    <mergeCell ref="M30:Q34"/>
    <mergeCell ref="A21:AC22"/>
  </mergeCell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9A6FD-A7D1-4307-BC61-6FC4C70F805C}">
  <sheetPr codeName="Sheet1"/>
  <dimension ref="A2:S154"/>
  <sheetViews>
    <sheetView zoomScale="50" zoomScaleNormal="50" workbookViewId="0">
      <selection activeCell="C64" sqref="C64"/>
    </sheetView>
  </sheetViews>
  <sheetFormatPr defaultRowHeight="15" x14ac:dyDescent="0.25"/>
  <cols>
    <col min="1" max="1" width="10" style="272" bestFit="1" customWidth="1"/>
    <col min="2" max="2" width="55.28515625" style="272" bestFit="1" customWidth="1"/>
    <col min="3" max="3" width="19.42578125" style="272" bestFit="1" customWidth="1"/>
    <col min="4" max="4" width="19.140625" style="272" bestFit="1" customWidth="1"/>
    <col min="5" max="5" width="20.140625" style="272" bestFit="1" customWidth="1"/>
    <col min="6" max="6" width="19.85546875" style="272" bestFit="1" customWidth="1"/>
    <col min="7" max="8" width="19.42578125" style="272" bestFit="1" customWidth="1"/>
    <col min="9" max="9" width="20.140625" style="272" bestFit="1" customWidth="1"/>
    <col min="10" max="11" width="19.42578125" style="272" bestFit="1" customWidth="1"/>
    <col min="12" max="12" width="20.140625" style="272" bestFit="1" customWidth="1"/>
    <col min="13" max="13" width="19.42578125" style="272" bestFit="1" customWidth="1"/>
    <col min="14" max="14" width="19.140625" style="272" bestFit="1" customWidth="1"/>
    <col min="15" max="15" width="20.140625" style="272" bestFit="1" customWidth="1"/>
    <col min="16" max="16" width="18.85546875" style="272" bestFit="1" customWidth="1"/>
    <col min="17" max="17" width="19.42578125" style="272" bestFit="1" customWidth="1"/>
    <col min="18" max="18" width="19.5703125" style="272" bestFit="1" customWidth="1"/>
    <col min="19" max="19" width="158" style="272" bestFit="1" customWidth="1"/>
    <col min="20" max="20" width="8.42578125" style="272" bestFit="1" customWidth="1"/>
    <col min="21" max="16384" width="9.140625" style="272"/>
  </cols>
  <sheetData>
    <row r="2" spans="2:19" x14ac:dyDescent="0.25">
      <c r="B2" s="3"/>
      <c r="C2" s="3"/>
      <c r="D2" s="3"/>
    </row>
    <row r="3" spans="2:19" ht="28.5" x14ac:dyDescent="0.45">
      <c r="B3" s="120" t="s">
        <v>4</v>
      </c>
      <c r="C3" s="338" t="s">
        <v>3</v>
      </c>
      <c r="D3" s="338"/>
      <c r="E3" s="353" t="s">
        <v>348</v>
      </c>
      <c r="F3" s="353"/>
      <c r="G3" s="353"/>
      <c r="H3" s="354" t="str">
        <f ca="1">'Encryption Calculations'!$C$223</f>
        <v xml:space="preserve">_x0006_°ðÉ†?ßJŽ_x0006_h7o¯ƒ
</v>
      </c>
      <c r="I3" s="354"/>
    </row>
    <row r="4" spans="2:19" x14ac:dyDescent="0.25">
      <c r="C4" s="3"/>
      <c r="D4" s="3"/>
      <c r="E4" s="3"/>
    </row>
    <row r="5" spans="2:19" x14ac:dyDescent="0.25">
      <c r="B5" s="79" t="s">
        <v>6</v>
      </c>
      <c r="C5" s="79">
        <v>1</v>
      </c>
      <c r="D5" s="79">
        <v>2</v>
      </c>
      <c r="E5" s="81">
        <v>3</v>
      </c>
      <c r="F5" s="81">
        <v>4</v>
      </c>
      <c r="G5" s="81">
        <v>5</v>
      </c>
      <c r="H5" s="81">
        <v>6</v>
      </c>
      <c r="I5" s="81">
        <v>7</v>
      </c>
      <c r="J5" s="81">
        <v>8</v>
      </c>
      <c r="K5" s="81">
        <v>9</v>
      </c>
      <c r="L5" s="81">
        <v>10</v>
      </c>
      <c r="M5" s="81">
        <v>11</v>
      </c>
      <c r="N5" s="81">
        <v>12</v>
      </c>
      <c r="O5" s="81">
        <v>13</v>
      </c>
      <c r="P5" s="81">
        <v>14</v>
      </c>
      <c r="Q5" s="81">
        <v>15</v>
      </c>
      <c r="R5" s="81">
        <v>16</v>
      </c>
    </row>
    <row r="6" spans="2:19" x14ac:dyDescent="0.25">
      <c r="B6" s="79" t="s">
        <v>5</v>
      </c>
      <c r="C6" s="79" t="str">
        <f>IF(MID($C$3,C5,1)=""," ",MID($C$3,C5,1))</f>
        <v>"</v>
      </c>
      <c r="D6" s="79" t="str">
        <f t="shared" ref="D6:R6" si="0">IF(MID($C$3,D5,1)=""," ",MID($C$3,D5,1))</f>
        <v>H</v>
      </c>
      <c r="E6" s="79" t="str">
        <f t="shared" si="0"/>
        <v>e</v>
      </c>
      <c r="F6" s="79" t="str">
        <f t="shared" si="0"/>
        <v>l</v>
      </c>
      <c r="G6" s="79" t="str">
        <f t="shared" si="0"/>
        <v>l</v>
      </c>
      <c r="H6" s="79" t="str">
        <f t="shared" si="0"/>
        <v>o</v>
      </c>
      <c r="I6" s="79" t="str">
        <f t="shared" si="0"/>
        <v xml:space="preserve"> </v>
      </c>
      <c r="J6" s="79" t="str">
        <f t="shared" si="0"/>
        <v>W</v>
      </c>
      <c r="K6" s="79" t="str">
        <f t="shared" si="0"/>
        <v>o</v>
      </c>
      <c r="L6" s="79" t="str">
        <f t="shared" si="0"/>
        <v>r</v>
      </c>
      <c r="M6" s="79" t="str">
        <f t="shared" si="0"/>
        <v>l</v>
      </c>
      <c r="N6" s="79" t="str">
        <f t="shared" si="0"/>
        <v>d</v>
      </c>
      <c r="O6" s="79" t="str">
        <f t="shared" si="0"/>
        <v>!</v>
      </c>
      <c r="P6" s="79" t="str">
        <f t="shared" si="0"/>
        <v>!</v>
      </c>
      <c r="Q6" s="79" t="str">
        <f t="shared" si="0"/>
        <v>!</v>
      </c>
      <c r="R6" s="79" t="str">
        <f t="shared" si="0"/>
        <v>"</v>
      </c>
    </row>
    <row r="7" spans="2:19" x14ac:dyDescent="0.25">
      <c r="B7" s="394"/>
      <c r="C7" s="80"/>
      <c r="D7" s="80"/>
      <c r="E7" s="82"/>
      <c r="F7" s="82"/>
      <c r="G7" s="82"/>
      <c r="H7" s="82"/>
      <c r="I7" s="82"/>
      <c r="J7" s="82"/>
      <c r="K7" s="82"/>
      <c r="L7" s="82"/>
      <c r="M7" s="82"/>
      <c r="N7" s="82"/>
      <c r="O7" s="82"/>
      <c r="P7" s="82"/>
      <c r="Q7" s="82"/>
      <c r="R7" s="82"/>
      <c r="S7" s="265" t="s">
        <v>7</v>
      </c>
    </row>
    <row r="8" spans="2:19" x14ac:dyDescent="0.25">
      <c r="B8" s="394" t="s">
        <v>486</v>
      </c>
      <c r="C8" s="79" t="str">
        <f>_xlfn.BASE(CODE(C6),2,8)</f>
        <v>00100010</v>
      </c>
      <c r="D8" s="79" t="str">
        <f t="shared" ref="D8:R8" si="1">_xlfn.BASE(CODE(D6),2,8)</f>
        <v>01001000</v>
      </c>
      <c r="E8" s="81" t="str">
        <f t="shared" si="1"/>
        <v>01100101</v>
      </c>
      <c r="F8" s="81" t="str">
        <f t="shared" si="1"/>
        <v>01101100</v>
      </c>
      <c r="G8" s="81" t="str">
        <f>_xlfn.BASE(CODE(G6),2,8)</f>
        <v>01101100</v>
      </c>
      <c r="H8" s="81" t="str">
        <f t="shared" si="1"/>
        <v>01101111</v>
      </c>
      <c r="I8" s="81" t="str">
        <f t="shared" si="1"/>
        <v>00100000</v>
      </c>
      <c r="J8" s="81" t="str">
        <f t="shared" si="1"/>
        <v>01010111</v>
      </c>
      <c r="K8" s="81" t="str">
        <f>_xlfn.BASE(CODE(K6),2,8)</f>
        <v>01101111</v>
      </c>
      <c r="L8" s="81" t="str">
        <f t="shared" si="1"/>
        <v>01110010</v>
      </c>
      <c r="M8" s="81" t="str">
        <f t="shared" si="1"/>
        <v>01101100</v>
      </c>
      <c r="N8" s="81" t="str">
        <f t="shared" si="1"/>
        <v>01100100</v>
      </c>
      <c r="O8" s="81" t="str">
        <f t="shared" si="1"/>
        <v>00100001</v>
      </c>
      <c r="P8" s="81" t="str">
        <f t="shared" si="1"/>
        <v>00100001</v>
      </c>
      <c r="Q8" s="81" t="str">
        <f t="shared" si="1"/>
        <v>00100001</v>
      </c>
      <c r="R8" s="81" t="str">
        <f t="shared" si="1"/>
        <v>00100010</v>
      </c>
      <c r="S8" s="265" t="str">
        <f>_xlfn.CONCAT(C8:R8)</f>
        <v>00100010010010000110010101101100011011000110111100100000010101110110111101110010011011000110010000100001001000010010000100100010</v>
      </c>
    </row>
    <row r="9" spans="2:19" x14ac:dyDescent="0.25">
      <c r="B9" s="394" t="s">
        <v>487</v>
      </c>
      <c r="C9" s="79">
        <f>CODE(C6)</f>
        <v>34</v>
      </c>
      <c r="D9" s="79">
        <f t="shared" ref="D9:R9" si="2">CODE(D6)</f>
        <v>72</v>
      </c>
      <c r="E9" s="79">
        <f t="shared" si="2"/>
        <v>101</v>
      </c>
      <c r="F9" s="79">
        <f t="shared" si="2"/>
        <v>108</v>
      </c>
      <c r="G9" s="79">
        <f t="shared" si="2"/>
        <v>108</v>
      </c>
      <c r="H9" s="79">
        <f t="shared" si="2"/>
        <v>111</v>
      </c>
      <c r="I9" s="79">
        <f t="shared" si="2"/>
        <v>32</v>
      </c>
      <c r="J9" s="79">
        <f t="shared" si="2"/>
        <v>87</v>
      </c>
      <c r="K9" s="79">
        <f t="shared" si="2"/>
        <v>111</v>
      </c>
      <c r="L9" s="79">
        <f t="shared" si="2"/>
        <v>114</v>
      </c>
      <c r="M9" s="79">
        <f t="shared" si="2"/>
        <v>108</v>
      </c>
      <c r="N9" s="79">
        <f t="shared" si="2"/>
        <v>100</v>
      </c>
      <c r="O9" s="79">
        <f t="shared" si="2"/>
        <v>33</v>
      </c>
      <c r="P9" s="79">
        <f t="shared" si="2"/>
        <v>33</v>
      </c>
      <c r="Q9" s="79">
        <f t="shared" si="2"/>
        <v>33</v>
      </c>
      <c r="R9" s="79">
        <f t="shared" si="2"/>
        <v>34</v>
      </c>
      <c r="S9" s="326" t="str">
        <f>_xlfn.CONCAT(C9:R9)</f>
        <v>3472101108108111328711111410810033333334</v>
      </c>
    </row>
    <row r="10" spans="2:19" x14ac:dyDescent="0.25">
      <c r="B10" s="394" t="s">
        <v>488</v>
      </c>
      <c r="C10" s="79" t="str">
        <f t="shared" ref="C10:R10" si="3">BIN2HEX(C8,2)</f>
        <v>22</v>
      </c>
      <c r="D10" s="79" t="str">
        <f t="shared" si="3"/>
        <v>48</v>
      </c>
      <c r="E10" s="81" t="str">
        <f t="shared" si="3"/>
        <v>65</v>
      </c>
      <c r="F10" s="81" t="str">
        <f t="shared" si="3"/>
        <v>6C</v>
      </c>
      <c r="G10" s="81" t="str">
        <f t="shared" si="3"/>
        <v>6C</v>
      </c>
      <c r="H10" s="81" t="str">
        <f t="shared" si="3"/>
        <v>6F</v>
      </c>
      <c r="I10" s="81" t="str">
        <f t="shared" si="3"/>
        <v>20</v>
      </c>
      <c r="J10" s="81" t="str">
        <f t="shared" si="3"/>
        <v>57</v>
      </c>
      <c r="K10" s="81" t="str">
        <f t="shared" si="3"/>
        <v>6F</v>
      </c>
      <c r="L10" s="81" t="str">
        <f t="shared" si="3"/>
        <v>72</v>
      </c>
      <c r="M10" s="81" t="str">
        <f t="shared" si="3"/>
        <v>6C</v>
      </c>
      <c r="N10" s="81" t="str">
        <f t="shared" si="3"/>
        <v>64</v>
      </c>
      <c r="O10" s="81" t="str">
        <f t="shared" si="3"/>
        <v>21</v>
      </c>
      <c r="P10" s="81" t="str">
        <f t="shared" si="3"/>
        <v>21</v>
      </c>
      <c r="Q10" s="81" t="str">
        <f t="shared" si="3"/>
        <v>21</v>
      </c>
      <c r="R10" s="81" t="str">
        <f t="shared" si="3"/>
        <v>22</v>
      </c>
      <c r="S10" s="265" t="str">
        <f>_xlfn.CONCAT(C10:R10)</f>
        <v>2248656C6C6F20576F726C6421212122</v>
      </c>
    </row>
    <row r="11" spans="2:19" x14ac:dyDescent="0.25">
      <c r="B11" s="268"/>
      <c r="C11" s="268"/>
      <c r="D11" s="268"/>
      <c r="E11" s="268"/>
      <c r="F11" s="268"/>
      <c r="G11" s="268"/>
      <c r="H11" s="268"/>
      <c r="I11" s="268"/>
      <c r="J11" s="268"/>
      <c r="K11" s="268"/>
      <c r="L11" s="268"/>
      <c r="M11" s="268"/>
      <c r="N11" s="268"/>
      <c r="O11" s="268"/>
      <c r="P11" s="268"/>
      <c r="Q11" s="268"/>
      <c r="R11" s="268"/>
      <c r="S11" s="265"/>
    </row>
    <row r="12" spans="2:19" ht="27" thickBot="1" x14ac:dyDescent="0.45">
      <c r="B12" s="120" t="s">
        <v>0</v>
      </c>
      <c r="C12" s="268"/>
      <c r="D12" s="268"/>
      <c r="E12" s="268"/>
      <c r="F12" s="268"/>
      <c r="G12" s="268"/>
      <c r="H12" s="268"/>
      <c r="I12" s="268"/>
      <c r="J12" s="268"/>
      <c r="K12" s="268"/>
      <c r="L12" s="268"/>
      <c r="M12" s="268"/>
      <c r="N12" s="268"/>
      <c r="O12" s="268"/>
      <c r="P12" s="268"/>
      <c r="Q12" s="268"/>
      <c r="R12" s="268"/>
      <c r="S12" s="265"/>
    </row>
    <row r="13" spans="2:19" ht="15.75" thickBot="1" x14ac:dyDescent="0.3">
      <c r="B13" s="268" t="s">
        <v>346</v>
      </c>
      <c r="C13" s="52" t="s">
        <v>368</v>
      </c>
      <c r="D13" s="52" t="s">
        <v>369</v>
      </c>
      <c r="E13" s="52" t="s">
        <v>370</v>
      </c>
      <c r="F13" s="52" t="s">
        <v>371</v>
      </c>
      <c r="G13" s="53" t="s">
        <v>372</v>
      </c>
      <c r="H13" s="53" t="s">
        <v>373</v>
      </c>
      <c r="I13" s="53" t="s">
        <v>374</v>
      </c>
      <c r="J13" s="53" t="s">
        <v>375</v>
      </c>
      <c r="K13" s="54" t="s">
        <v>376</v>
      </c>
      <c r="L13" s="54" t="s">
        <v>377</v>
      </c>
      <c r="M13" s="54" t="s">
        <v>378</v>
      </c>
      <c r="N13" s="54" t="s">
        <v>379</v>
      </c>
      <c r="O13" s="56" t="s">
        <v>380</v>
      </c>
      <c r="P13" s="56" t="s">
        <v>381</v>
      </c>
      <c r="Q13" s="56" t="s">
        <v>382</v>
      </c>
      <c r="R13" s="56" t="s">
        <v>383</v>
      </c>
      <c r="S13" s="265"/>
    </row>
    <row r="14" spans="2:19" ht="15.75" thickBot="1" x14ac:dyDescent="0.3">
      <c r="B14" s="265" t="s">
        <v>347</v>
      </c>
      <c r="C14" s="316">
        <v>0</v>
      </c>
      <c r="D14" s="316">
        <v>1</v>
      </c>
      <c r="E14" s="316">
        <v>2</v>
      </c>
      <c r="F14" s="316">
        <v>3</v>
      </c>
      <c r="G14" s="316">
        <v>4</v>
      </c>
      <c r="H14" s="316">
        <v>5</v>
      </c>
      <c r="I14" s="316">
        <v>6</v>
      </c>
      <c r="J14" s="316">
        <v>7</v>
      </c>
      <c r="K14" s="316">
        <v>8</v>
      </c>
      <c r="L14" s="316">
        <v>9</v>
      </c>
      <c r="M14" s="316">
        <v>10</v>
      </c>
      <c r="N14" s="316">
        <v>11</v>
      </c>
      <c r="O14" s="316">
        <v>12</v>
      </c>
      <c r="P14" s="316">
        <v>13</v>
      </c>
      <c r="Q14" s="316">
        <v>14</v>
      </c>
      <c r="R14" s="316">
        <v>15</v>
      </c>
      <c r="S14" s="265"/>
    </row>
    <row r="15" spans="2:19" x14ac:dyDescent="0.25">
      <c r="B15" s="15"/>
      <c r="D15" s="265"/>
      <c r="E15" s="265"/>
      <c r="F15" s="265"/>
      <c r="G15" s="265"/>
      <c r="H15" s="265"/>
      <c r="I15" s="265"/>
      <c r="J15" s="265"/>
      <c r="K15" s="265"/>
      <c r="L15" s="265"/>
      <c r="M15" s="265"/>
      <c r="N15" s="265"/>
      <c r="O15" s="265"/>
      <c r="P15" s="265"/>
      <c r="Q15" s="265"/>
      <c r="R15" s="265"/>
      <c r="S15" s="265"/>
    </row>
    <row r="16" spans="2:19" x14ac:dyDescent="0.25">
      <c r="C16" s="340" t="s">
        <v>2</v>
      </c>
      <c r="D16" s="340"/>
      <c r="E16" s="340"/>
      <c r="F16" s="340"/>
      <c r="G16" s="340"/>
      <c r="H16" s="340"/>
      <c r="I16" s="340"/>
      <c r="J16" s="340"/>
      <c r="K16" s="340"/>
      <c r="L16" s="340"/>
      <c r="M16" s="340"/>
      <c r="N16" s="340"/>
      <c r="O16" s="340"/>
      <c r="P16" s="340"/>
      <c r="Q16" s="340"/>
      <c r="R16" s="340"/>
      <c r="S16" s="1"/>
    </row>
    <row r="17" spans="2:19" x14ac:dyDescent="0.25">
      <c r="C17" s="340" t="s">
        <v>1</v>
      </c>
      <c r="D17" s="340"/>
      <c r="E17" s="340"/>
      <c r="F17" s="340"/>
      <c r="G17" s="340"/>
      <c r="H17" s="340"/>
      <c r="I17" s="340"/>
      <c r="J17" s="340"/>
      <c r="K17" s="340"/>
      <c r="L17" s="340"/>
      <c r="M17" s="340"/>
      <c r="N17" s="340"/>
      <c r="O17" s="340"/>
      <c r="P17" s="340"/>
      <c r="Q17" s="340"/>
      <c r="R17" s="340"/>
    </row>
    <row r="18" spans="2:19" ht="15.75" thickBot="1" x14ac:dyDescent="0.3">
      <c r="C18" s="341" t="s">
        <v>441</v>
      </c>
      <c r="D18" s="342"/>
      <c r="E18" s="342"/>
      <c r="F18" s="343"/>
      <c r="G18" s="344" t="s">
        <v>442</v>
      </c>
      <c r="H18" s="345"/>
      <c r="I18" s="345"/>
      <c r="J18" s="346"/>
      <c r="K18" s="347" t="s">
        <v>443</v>
      </c>
      <c r="L18" s="348"/>
      <c r="M18" s="348"/>
      <c r="N18" s="349"/>
      <c r="O18" s="350" t="s">
        <v>444</v>
      </c>
      <c r="P18" s="351"/>
      <c r="Q18" s="351"/>
      <c r="R18" s="352"/>
    </row>
    <row r="19" spans="2:19" ht="15.75" thickBot="1" x14ac:dyDescent="0.3">
      <c r="C19" s="47" t="s">
        <v>426</v>
      </c>
      <c r="D19" s="47" t="s">
        <v>427</v>
      </c>
      <c r="E19" s="47" t="s">
        <v>428</v>
      </c>
      <c r="F19" s="47" t="s">
        <v>429</v>
      </c>
      <c r="G19" s="48" t="s">
        <v>247</v>
      </c>
      <c r="H19" s="48" t="s">
        <v>248</v>
      </c>
      <c r="I19" s="48" t="s">
        <v>249</v>
      </c>
      <c r="J19" s="48" t="s">
        <v>250</v>
      </c>
      <c r="K19" s="46" t="s">
        <v>445</v>
      </c>
      <c r="L19" s="46" t="s">
        <v>446</v>
      </c>
      <c r="M19" s="46" t="s">
        <v>447</v>
      </c>
      <c r="N19" s="46" t="s">
        <v>448</v>
      </c>
      <c r="O19" s="49" t="s">
        <v>449</v>
      </c>
      <c r="P19" s="49" t="s">
        <v>450</v>
      </c>
      <c r="Q19" s="49" t="s">
        <v>430</v>
      </c>
      <c r="R19" s="49" t="s">
        <v>451</v>
      </c>
      <c r="S19" s="265" t="s">
        <v>42</v>
      </c>
    </row>
    <row r="20" spans="2:19" ht="15.75" thickBot="1" x14ac:dyDescent="0.3">
      <c r="C20" s="52" t="s">
        <v>368</v>
      </c>
      <c r="D20" s="52" t="s">
        <v>369</v>
      </c>
      <c r="E20" s="52" t="s">
        <v>370</v>
      </c>
      <c r="F20" s="52" t="s">
        <v>371</v>
      </c>
      <c r="G20" s="53" t="s">
        <v>372</v>
      </c>
      <c r="H20" s="53" t="s">
        <v>373</v>
      </c>
      <c r="I20" s="53" t="s">
        <v>374</v>
      </c>
      <c r="J20" s="53" t="s">
        <v>375</v>
      </c>
      <c r="K20" s="54" t="s">
        <v>376</v>
      </c>
      <c r="L20" s="54" t="s">
        <v>377</v>
      </c>
      <c r="M20" s="54" t="s">
        <v>378</v>
      </c>
      <c r="N20" s="54" t="s">
        <v>379</v>
      </c>
      <c r="O20" s="56" t="s">
        <v>380</v>
      </c>
      <c r="P20" s="56" t="s">
        <v>381</v>
      </c>
      <c r="Q20" s="56" t="s">
        <v>382</v>
      </c>
      <c r="R20" s="56" t="s">
        <v>383</v>
      </c>
      <c r="S20" s="265"/>
    </row>
    <row r="21" spans="2:19" ht="15.75" thickBot="1" x14ac:dyDescent="0.3">
      <c r="B21" s="42" t="s">
        <v>282</v>
      </c>
      <c r="C21" s="47" t="str">
        <f ca="1">_xlfn.BASE('Encryption Calculations'!C14,2,8)</f>
        <v>00000000</v>
      </c>
      <c r="D21" s="47" t="str">
        <f ca="1">_xlfn.BASE('Encryption Calculations'!D14,2,8)</f>
        <v>00000001</v>
      </c>
      <c r="E21" s="47" t="str">
        <f ca="1">_xlfn.BASE('Encryption Calculations'!E14,2,8)</f>
        <v>00000010</v>
      </c>
      <c r="F21" s="47" t="str">
        <f ca="1">_xlfn.BASE('Encryption Calculations'!F14,2,8)</f>
        <v>00000011</v>
      </c>
      <c r="G21" s="48" t="str">
        <f ca="1">_xlfn.BASE('Encryption Calculations'!G14,2,8)</f>
        <v>00000100</v>
      </c>
      <c r="H21" s="48" t="str">
        <f ca="1">_xlfn.BASE('Encryption Calculations'!H14,2,8)</f>
        <v>00000101</v>
      </c>
      <c r="I21" s="48" t="str">
        <f ca="1">_xlfn.BASE('Encryption Calculations'!I14,2,8)</f>
        <v>00000110</v>
      </c>
      <c r="J21" s="48" t="str">
        <f ca="1">_xlfn.BASE('Encryption Calculations'!J14,2,8)</f>
        <v>00000111</v>
      </c>
      <c r="K21" s="46" t="str">
        <f ca="1">_xlfn.BASE('Encryption Calculations'!K14,2,8)</f>
        <v>00001000</v>
      </c>
      <c r="L21" s="46" t="str">
        <f ca="1">_xlfn.BASE('Encryption Calculations'!L14,2,8)</f>
        <v>00001001</v>
      </c>
      <c r="M21" s="46" t="str">
        <f ca="1">_xlfn.BASE('Encryption Calculations'!M14,2,8)</f>
        <v>00001010</v>
      </c>
      <c r="N21" s="46" t="str">
        <f ca="1">_xlfn.BASE('Encryption Calculations'!N14,2,8)</f>
        <v>00001011</v>
      </c>
      <c r="O21" s="49" t="str">
        <f ca="1">_xlfn.BASE('Encryption Calculations'!O14,2,8)</f>
        <v>00001100</v>
      </c>
      <c r="P21" s="49" t="str">
        <f ca="1">_xlfn.BASE('Encryption Calculations'!P14,2,8)</f>
        <v>00001101</v>
      </c>
      <c r="Q21" s="49" t="str">
        <f ca="1">_xlfn.BASE('Encryption Calculations'!Q14,2,8)</f>
        <v>00001110</v>
      </c>
      <c r="R21" s="49" t="str">
        <f ca="1">_xlfn.BASE('Encryption Calculations'!R14,2,8)</f>
        <v>00001111</v>
      </c>
      <c r="S21" s="265" t="str">
        <f ca="1">_xlfn.CONCAT(C21:R21)</f>
        <v>00000000000000010000001000000011000001000000010100000110000001110000100000001001000010100000101100001100000011010000111000001111</v>
      </c>
    </row>
    <row r="22" spans="2:19" ht="15.75" thickBot="1" x14ac:dyDescent="0.3">
      <c r="B22" s="42" t="s">
        <v>344</v>
      </c>
      <c r="C22" s="47">
        <f ca="1">IF(ISBLANK(C14),RANDBETWEEN(0,255),IF(AND(0&lt;=C14,C14&lt;=255),C14,RANDBETWEEN(0,255)))</f>
        <v>0</v>
      </c>
      <c r="D22" s="47">
        <f ca="1">IF(ISBLANK(D14),RANDBETWEEN(0,255),IF(AND(0&lt;=D14,D14&lt;=255),D14,RANDBETWEEN(0,255)))</f>
        <v>1</v>
      </c>
      <c r="E22" s="47">
        <f ca="1">IF(ISBLANK(E14),RANDBETWEEN(0,255),IF(AND(0&lt;=E14,E14&lt;=255),E14,RANDBETWEEN(0,255)))</f>
        <v>2</v>
      </c>
      <c r="F22" s="47">
        <f ca="1">IF(ISBLANK(F14),RANDBETWEEN(0,255),IF(AND(0&lt;=F14,F14&lt;=255),F14,RANDBETWEEN(0,255)))</f>
        <v>3</v>
      </c>
      <c r="G22" s="48">
        <f ca="1">IF(ISBLANK(G14),RANDBETWEEN(0,255),IF(AND(0&lt;=G14,G14&lt;=255),G14,RANDBETWEEN(0,255)))</f>
        <v>4</v>
      </c>
      <c r="H22" s="48">
        <f ca="1">IF(ISBLANK(H14),RANDBETWEEN(0,255),IF(AND(0&lt;=H14,H14&lt;=255),H14,RANDBETWEEN(0,255)))</f>
        <v>5</v>
      </c>
      <c r="I22" s="48">
        <f ca="1">IF(ISBLANK(I14),RANDBETWEEN(0,255),IF(AND(0&lt;=I14,I14&lt;=255),I14,RANDBETWEEN(0,255)))</f>
        <v>6</v>
      </c>
      <c r="J22" s="48">
        <f ca="1">IF(ISBLANK(J14),RANDBETWEEN(0,255),IF(AND(0&lt;=J14,J14&lt;=255),J14,RANDBETWEEN(0,255)))</f>
        <v>7</v>
      </c>
      <c r="K22" s="46">
        <f ca="1">IF(ISBLANK(K14),RANDBETWEEN(0,255),IF(AND(0&lt;=K14,K14&lt;=255),K14,RANDBETWEEN(0,255)))</f>
        <v>8</v>
      </c>
      <c r="L22" s="46">
        <f ca="1">IF(ISBLANK(L14),RANDBETWEEN(0,255),IF(AND(0&lt;=L14,L14&lt;=255),L14,RANDBETWEEN(0,255)))</f>
        <v>9</v>
      </c>
      <c r="M22" s="46">
        <f ca="1">IF(ISBLANK(M14),RANDBETWEEN(0,255),IF(AND(0&lt;=M14,M14&lt;=255),M14,RANDBETWEEN(0,255)))</f>
        <v>10</v>
      </c>
      <c r="N22" s="46">
        <f ca="1">IF(ISBLANK(N14),RANDBETWEEN(0,255),IF(AND(0&lt;=N14,N14&lt;=255),N14,RANDBETWEEN(0,255)))</f>
        <v>11</v>
      </c>
      <c r="O22" s="49">
        <f ca="1">IF(ISBLANK(O14),RANDBETWEEN(0,255),IF(AND(0&lt;=O14,O14&lt;=255),O14,RANDBETWEEN(0,255)))</f>
        <v>12</v>
      </c>
      <c r="P22" s="49">
        <f ca="1">IF(ISBLANK(P14),RANDBETWEEN(0,255),IF(AND(0&lt;=P14,P14&lt;=255),P14,RANDBETWEEN(0,255)))</f>
        <v>13</v>
      </c>
      <c r="Q22" s="49">
        <f ca="1">IF(ISBLANK(Q14),RANDBETWEEN(0,255),IF(AND(0&lt;=Q14,Q14&lt;=255),Q14,RANDBETWEEN(0,255)))</f>
        <v>14</v>
      </c>
      <c r="R22" s="49">
        <f ca="1">IF(ISBLANK(R14),RANDBETWEEN(0,255),IF(AND(0&lt;=R14,R14&lt;=255),R14,RANDBETWEEN(0,255)))</f>
        <v>15</v>
      </c>
      <c r="S22" s="265" t="str">
        <f ca="1">_xlfn.CONCAT(C22:R22)</f>
        <v>0123456789101112131415</v>
      </c>
    </row>
    <row r="23" spans="2:19" ht="15.75" thickBot="1" x14ac:dyDescent="0.3">
      <c r="B23" s="42" t="s">
        <v>90</v>
      </c>
      <c r="C23" s="47" t="str">
        <f ca="1">_xlfn.BASE('Encryption Calculations'!C14,16,2)</f>
        <v>00</v>
      </c>
      <c r="D23" s="47" t="str">
        <f ca="1">_xlfn.BASE('Encryption Calculations'!D14,16,2)</f>
        <v>01</v>
      </c>
      <c r="E23" s="47" t="str">
        <f ca="1">_xlfn.BASE('Encryption Calculations'!E14,16,2)</f>
        <v>02</v>
      </c>
      <c r="F23" s="47" t="str">
        <f ca="1">_xlfn.BASE('Encryption Calculations'!F14,16,2)</f>
        <v>03</v>
      </c>
      <c r="G23" s="48" t="str">
        <f ca="1">_xlfn.BASE('Encryption Calculations'!G14,16,2)</f>
        <v>04</v>
      </c>
      <c r="H23" s="48" t="str">
        <f ca="1">_xlfn.BASE('Encryption Calculations'!H14,16,2)</f>
        <v>05</v>
      </c>
      <c r="I23" s="48" t="str">
        <f ca="1">_xlfn.BASE('Encryption Calculations'!I14,16,2)</f>
        <v>06</v>
      </c>
      <c r="J23" s="48" t="str">
        <f ca="1">_xlfn.BASE('Encryption Calculations'!J14,16,2)</f>
        <v>07</v>
      </c>
      <c r="K23" s="46" t="str">
        <f ca="1">_xlfn.BASE('Encryption Calculations'!K14,16,2)</f>
        <v>08</v>
      </c>
      <c r="L23" s="46" t="str">
        <f ca="1">_xlfn.BASE('Encryption Calculations'!L14,16,2)</f>
        <v>09</v>
      </c>
      <c r="M23" s="46" t="str">
        <f ca="1">_xlfn.BASE('Encryption Calculations'!M14,16,2)</f>
        <v>0A</v>
      </c>
      <c r="N23" s="46" t="str">
        <f ca="1">_xlfn.BASE('Encryption Calculations'!N14,16,2)</f>
        <v>0B</v>
      </c>
      <c r="O23" s="49" t="str">
        <f ca="1">_xlfn.BASE('Encryption Calculations'!O14,16,2)</f>
        <v>0C</v>
      </c>
      <c r="P23" s="49" t="str">
        <f ca="1">_xlfn.BASE('Encryption Calculations'!P14,16,2)</f>
        <v>0D</v>
      </c>
      <c r="Q23" s="49" t="str">
        <f ca="1">_xlfn.BASE('Encryption Calculations'!Q14,16,2)</f>
        <v>0E</v>
      </c>
      <c r="R23" s="49" t="str">
        <f ca="1">_xlfn.BASE('Encryption Calculations'!R14,16,2)</f>
        <v>0F</v>
      </c>
      <c r="S23" s="265" t="str">
        <f ca="1">_xlfn.CONCAT(C23:R23)</f>
        <v>000102030405060708090A0B0C0D0E0F</v>
      </c>
    </row>
    <row r="28" spans="2:19" ht="31.5" x14ac:dyDescent="0.5">
      <c r="B28" s="76" t="s">
        <v>349</v>
      </c>
    </row>
    <row r="30" spans="2:19" x14ac:dyDescent="0.25">
      <c r="F30" s="3"/>
    </row>
    <row r="33" spans="2:18" ht="26.25" x14ac:dyDescent="0.4">
      <c r="B33" s="120" t="s">
        <v>489</v>
      </c>
      <c r="C33" s="340"/>
      <c r="D33" s="340"/>
      <c r="E33" s="340"/>
      <c r="F33" s="340"/>
      <c r="G33" s="340"/>
      <c r="H33" s="340"/>
      <c r="I33" s="340"/>
      <c r="J33" s="340"/>
      <c r="K33" s="340"/>
      <c r="L33" s="340"/>
      <c r="M33" s="340"/>
      <c r="N33" s="340"/>
      <c r="O33" s="340"/>
      <c r="P33" s="340"/>
      <c r="Q33" s="340"/>
      <c r="R33" s="340"/>
    </row>
    <row r="34" spans="2:18" x14ac:dyDescent="0.25">
      <c r="C34" s="358"/>
      <c r="D34" s="358"/>
      <c r="E34" s="358"/>
      <c r="F34" s="358"/>
      <c r="G34" s="358"/>
      <c r="H34" s="358"/>
      <c r="I34" s="358"/>
      <c r="J34" s="358"/>
      <c r="K34" s="358"/>
      <c r="L34" s="358"/>
      <c r="M34" s="358"/>
      <c r="N34" s="358"/>
      <c r="O34" s="358"/>
      <c r="P34" s="358"/>
      <c r="Q34" s="358"/>
      <c r="R34" s="358"/>
    </row>
    <row r="35" spans="2:18" x14ac:dyDescent="0.25">
      <c r="C35" s="75" t="s">
        <v>9</v>
      </c>
      <c r="D35" s="75" t="s">
        <v>10</v>
      </c>
      <c r="E35" s="75" t="s">
        <v>11</v>
      </c>
      <c r="F35" s="75" t="s">
        <v>12</v>
      </c>
      <c r="G35" s="75" t="s">
        <v>24</v>
      </c>
      <c r="H35" s="75" t="s">
        <v>13</v>
      </c>
      <c r="I35" s="75" t="s">
        <v>14</v>
      </c>
      <c r="J35" s="75" t="s">
        <v>15</v>
      </c>
      <c r="K35" s="75" t="s">
        <v>16</v>
      </c>
      <c r="L35" s="75" t="s">
        <v>17</v>
      </c>
      <c r="M35" s="75" t="s">
        <v>19</v>
      </c>
      <c r="N35" s="75" t="s">
        <v>20</v>
      </c>
      <c r="O35" s="75" t="s">
        <v>21</v>
      </c>
      <c r="P35" s="75" t="s">
        <v>18</v>
      </c>
      <c r="Q35" s="75" t="s">
        <v>22</v>
      </c>
      <c r="R35" s="75" t="s">
        <v>23</v>
      </c>
    </row>
    <row r="36" spans="2:18" x14ac:dyDescent="0.25">
      <c r="B36" s="42" t="s">
        <v>343</v>
      </c>
      <c r="C36" s="265" t="str">
        <f ca="1">_xlfn.BASE('Encryption Calculations'!C18,2,8)</f>
        <v>00100010</v>
      </c>
      <c r="D36" s="265" t="str">
        <f ca="1">_xlfn.BASE('Encryption Calculations'!D18,2,8)</f>
        <v>01001001</v>
      </c>
      <c r="E36" s="265" t="str">
        <f ca="1">_xlfn.BASE('Encryption Calculations'!E18,2,8)</f>
        <v>01100111</v>
      </c>
      <c r="F36" s="265" t="str">
        <f ca="1">_xlfn.BASE('Encryption Calculations'!F18,2,8)</f>
        <v>01101111</v>
      </c>
      <c r="G36" s="265" t="str">
        <f ca="1">_xlfn.BASE('Encryption Calculations'!G18,2,8)</f>
        <v>01101000</v>
      </c>
      <c r="H36" s="265" t="str">
        <f ca="1">_xlfn.BASE('Encryption Calculations'!H18,2,8)</f>
        <v>01101010</v>
      </c>
      <c r="I36" s="265" t="str">
        <f ca="1">_xlfn.BASE('Encryption Calculations'!I18,2,8)</f>
        <v>00100110</v>
      </c>
      <c r="J36" s="265" t="str">
        <f ca="1">_xlfn.BASE('Encryption Calculations'!J18,2,8)</f>
        <v>01010000</v>
      </c>
      <c r="K36" s="265" t="str">
        <f ca="1">_xlfn.BASE('Encryption Calculations'!K18,2,8)</f>
        <v>01100111</v>
      </c>
      <c r="L36" s="265" t="str">
        <f ca="1">_xlfn.BASE('Encryption Calculations'!L18,2,8)</f>
        <v>01111011</v>
      </c>
      <c r="M36" s="265" t="str">
        <f ca="1">_xlfn.BASE('Encryption Calculations'!M18,2,8)</f>
        <v>01100110</v>
      </c>
      <c r="N36" s="265" t="str">
        <f ca="1">_xlfn.BASE('Encryption Calculations'!N18,2,8)</f>
        <v>01101111</v>
      </c>
      <c r="O36" s="265" t="str">
        <f ca="1">_xlfn.BASE('Encryption Calculations'!O18,2,8)</f>
        <v>00101101</v>
      </c>
      <c r="P36" s="265" t="str">
        <f ca="1">_xlfn.BASE('Encryption Calculations'!P18,2,8)</f>
        <v>00101100</v>
      </c>
      <c r="Q36" s="265" t="str">
        <f ca="1">_xlfn.BASE('Encryption Calculations'!Q18,2,8)</f>
        <v>00101111</v>
      </c>
      <c r="R36" s="265" t="str">
        <f ca="1">_xlfn.BASE('Encryption Calculations'!R18,2,8)</f>
        <v>00101101</v>
      </c>
    </row>
    <row r="37" spans="2:18" x14ac:dyDescent="0.25">
      <c r="B37" s="42" t="s">
        <v>344</v>
      </c>
      <c r="C37" s="265">
        <f ca="1">'Encryption Calculations'!C18</f>
        <v>34</v>
      </c>
      <c r="D37" s="265">
        <f ca="1">'Encryption Calculations'!D18</f>
        <v>73</v>
      </c>
      <c r="E37" s="265">
        <f ca="1">'Encryption Calculations'!E18</f>
        <v>103</v>
      </c>
      <c r="F37" s="265">
        <f ca="1">'Encryption Calculations'!F18</f>
        <v>111</v>
      </c>
      <c r="G37" s="265">
        <f ca="1">'Encryption Calculations'!G18</f>
        <v>104</v>
      </c>
      <c r="H37" s="265">
        <f ca="1">'Encryption Calculations'!H18</f>
        <v>106</v>
      </c>
      <c r="I37" s="265">
        <f ca="1">'Encryption Calculations'!I18</f>
        <v>38</v>
      </c>
      <c r="J37" s="265">
        <f ca="1">'Encryption Calculations'!J18</f>
        <v>80</v>
      </c>
      <c r="K37" s="265">
        <f ca="1">'Encryption Calculations'!K18</f>
        <v>103</v>
      </c>
      <c r="L37" s="265">
        <f ca="1">'Encryption Calculations'!L18</f>
        <v>123</v>
      </c>
      <c r="M37" s="265">
        <f ca="1">'Encryption Calculations'!M18</f>
        <v>102</v>
      </c>
      <c r="N37" s="265">
        <f ca="1">'Encryption Calculations'!N18</f>
        <v>111</v>
      </c>
      <c r="O37" s="265">
        <f ca="1">'Encryption Calculations'!O18</f>
        <v>45</v>
      </c>
      <c r="P37" s="265">
        <f ca="1">'Encryption Calculations'!P18</f>
        <v>44</v>
      </c>
      <c r="Q37" s="265">
        <f ca="1">'Encryption Calculations'!Q18</f>
        <v>47</v>
      </c>
      <c r="R37" s="265">
        <f ca="1">'Encryption Calculations'!R18</f>
        <v>45</v>
      </c>
    </row>
    <row r="38" spans="2:18" x14ac:dyDescent="0.25">
      <c r="B38" s="42" t="s">
        <v>90</v>
      </c>
      <c r="C38" s="265" t="str">
        <f ca="1">_xlfn.BASE('Encryption Calculations'!C18,16,2)</f>
        <v>22</v>
      </c>
      <c r="D38" s="265" t="str">
        <f ca="1">_xlfn.BASE('Encryption Calculations'!D18,16,2)</f>
        <v>49</v>
      </c>
      <c r="E38" s="265" t="str">
        <f ca="1">_xlfn.BASE('Encryption Calculations'!E18,16,2)</f>
        <v>67</v>
      </c>
      <c r="F38" s="265" t="str">
        <f ca="1">_xlfn.BASE('Encryption Calculations'!F18,16,2)</f>
        <v>6F</v>
      </c>
      <c r="G38" s="265" t="str">
        <f ca="1">_xlfn.BASE('Encryption Calculations'!G18,16,2)</f>
        <v>68</v>
      </c>
      <c r="H38" s="265" t="str">
        <f ca="1">_xlfn.BASE('Encryption Calculations'!H18,16,2)</f>
        <v>6A</v>
      </c>
      <c r="I38" s="265" t="str">
        <f ca="1">_xlfn.BASE('Encryption Calculations'!I18,16,2)</f>
        <v>26</v>
      </c>
      <c r="J38" s="265" t="str">
        <f ca="1">_xlfn.BASE('Encryption Calculations'!J18,16,2)</f>
        <v>50</v>
      </c>
      <c r="K38" s="265" t="str">
        <f ca="1">_xlfn.BASE('Encryption Calculations'!K18,16,2)</f>
        <v>67</v>
      </c>
      <c r="L38" s="265" t="str">
        <f ca="1">_xlfn.BASE('Encryption Calculations'!L18,16,2)</f>
        <v>7B</v>
      </c>
      <c r="M38" s="265" t="str">
        <f ca="1">_xlfn.BASE('Encryption Calculations'!M18,16,2)</f>
        <v>66</v>
      </c>
      <c r="N38" s="265" t="str">
        <f ca="1">_xlfn.BASE('Encryption Calculations'!N18,16,2)</f>
        <v>6F</v>
      </c>
      <c r="O38" s="265" t="str">
        <f ca="1">_xlfn.BASE('Encryption Calculations'!O18,16,2)</f>
        <v>2D</v>
      </c>
      <c r="P38" s="265" t="str">
        <f ca="1">_xlfn.BASE('Encryption Calculations'!P18,16,2)</f>
        <v>2C</v>
      </c>
      <c r="Q38" s="265" t="str">
        <f ca="1">_xlfn.BASE('Encryption Calculations'!Q18,16,2)</f>
        <v>2F</v>
      </c>
      <c r="R38" s="265" t="str">
        <f ca="1">_xlfn.BASE('Encryption Calculations'!R18,16,2)</f>
        <v>2D</v>
      </c>
    </row>
    <row r="39" spans="2:18" ht="15.75" thickBot="1" x14ac:dyDescent="0.3">
      <c r="C39" s="2"/>
      <c r="F39" s="2"/>
      <c r="H39" s="339" t="s">
        <v>256</v>
      </c>
      <c r="I39" s="339"/>
      <c r="J39" s="339"/>
      <c r="K39" s="339"/>
      <c r="L39" s="265"/>
      <c r="M39" s="339" t="s">
        <v>258</v>
      </c>
      <c r="N39" s="339"/>
      <c r="O39" s="339"/>
      <c r="P39" s="339"/>
    </row>
    <row r="40" spans="2:18" x14ac:dyDescent="0.25">
      <c r="B40" s="4"/>
      <c r="C40" s="268" t="s">
        <v>9</v>
      </c>
      <c r="D40" s="265" t="s">
        <v>24</v>
      </c>
      <c r="E40" s="265" t="s">
        <v>16</v>
      </c>
      <c r="F40" s="265" t="s">
        <v>21</v>
      </c>
      <c r="G40" s="7"/>
      <c r="H40" s="8" t="str">
        <f ca="1">C36</f>
        <v>00100010</v>
      </c>
      <c r="I40" s="265" t="str">
        <f ca="1">G36</f>
        <v>01101000</v>
      </c>
      <c r="J40" s="265" t="str">
        <f ca="1">K36</f>
        <v>01100111</v>
      </c>
      <c r="K40" s="273" t="str">
        <f ca="1">O36</f>
        <v>00101101</v>
      </c>
      <c r="L40" s="7"/>
      <c r="M40" s="8" t="str">
        <f ca="1">'Encryption Calculations'!R20</f>
        <v>22</v>
      </c>
      <c r="N40" s="265" t="str">
        <f ca="1">'Encryption Calculations'!S20</f>
        <v>68</v>
      </c>
      <c r="O40" s="265" t="str">
        <f ca="1">'Encryption Calculations'!T20</f>
        <v>67</v>
      </c>
      <c r="P40" s="11" t="str">
        <f ca="1">'Encryption Calculations'!U20</f>
        <v>2D</v>
      </c>
    </row>
    <row r="41" spans="2:18" ht="21" x14ac:dyDescent="0.35">
      <c r="C41" s="9" t="s">
        <v>10</v>
      </c>
      <c r="D41" s="265" t="s">
        <v>13</v>
      </c>
      <c r="E41" s="265" t="s">
        <v>17</v>
      </c>
      <c r="F41" s="265" t="s">
        <v>18</v>
      </c>
      <c r="G41" s="71" t="s">
        <v>8</v>
      </c>
      <c r="H41" s="9" t="str">
        <f ca="1">D36</f>
        <v>01001001</v>
      </c>
      <c r="I41" s="265" t="str">
        <f ca="1">H36</f>
        <v>01101010</v>
      </c>
      <c r="J41" s="265" t="str">
        <f ca="1">L36</f>
        <v>01111011</v>
      </c>
      <c r="K41" s="265" t="str">
        <f ca="1">P36</f>
        <v>00101100</v>
      </c>
      <c r="L41" s="17" t="s">
        <v>8</v>
      </c>
      <c r="M41" s="265" t="str">
        <f ca="1">'Encryption Calculations'!R21</f>
        <v>49</v>
      </c>
      <c r="N41" s="265" t="str">
        <f ca="1">'Encryption Calculations'!S21</f>
        <v>6A</v>
      </c>
      <c r="O41" s="265" t="str">
        <f ca="1">'Encryption Calculations'!T21</f>
        <v>7B</v>
      </c>
      <c r="P41" s="88" t="str">
        <f ca="1">'Encryption Calculations'!U21</f>
        <v>2C</v>
      </c>
    </row>
    <row r="42" spans="2:18" x14ac:dyDescent="0.25">
      <c r="B42" s="4"/>
      <c r="C42" s="268" t="s">
        <v>11</v>
      </c>
      <c r="D42" s="265" t="s">
        <v>14</v>
      </c>
      <c r="E42" s="265" t="s">
        <v>19</v>
      </c>
      <c r="F42" s="265" t="s">
        <v>22</v>
      </c>
      <c r="G42" s="7"/>
      <c r="H42" s="268" t="str">
        <f ca="1">E36</f>
        <v>01100111</v>
      </c>
      <c r="I42" s="265" t="str">
        <f ca="1">I36</f>
        <v>00100110</v>
      </c>
      <c r="J42" s="265" t="str">
        <f ca="1">M36</f>
        <v>01100110</v>
      </c>
      <c r="K42" s="265" t="str">
        <f ca="1">Q36</f>
        <v>00101111</v>
      </c>
      <c r="L42" s="7"/>
      <c r="M42" s="265" t="str">
        <f ca="1">'Encryption Calculations'!R22</f>
        <v>67</v>
      </c>
      <c r="N42" s="265" t="str">
        <f ca="1">'Encryption Calculations'!S22</f>
        <v>26</v>
      </c>
      <c r="O42" s="265" t="str">
        <f ca="1">'Encryption Calculations'!T22</f>
        <v>66</v>
      </c>
      <c r="P42" s="88" t="str">
        <f ca="1">'Encryption Calculations'!U22</f>
        <v>2F</v>
      </c>
    </row>
    <row r="43" spans="2:18" ht="15.75" thickBot="1" x14ac:dyDescent="0.3">
      <c r="C43" s="16" t="s">
        <v>12</v>
      </c>
      <c r="D43" s="268" t="s">
        <v>15</v>
      </c>
      <c r="E43" s="265" t="s">
        <v>20</v>
      </c>
      <c r="F43" s="14" t="s">
        <v>23</v>
      </c>
      <c r="G43" s="7"/>
      <c r="H43" s="16" t="str">
        <f ca="1">F36</f>
        <v>01101111</v>
      </c>
      <c r="I43" s="265" t="str">
        <f ca="1">J36</f>
        <v>01010000</v>
      </c>
      <c r="J43" s="265" t="str">
        <f ca="1">N36</f>
        <v>01101111</v>
      </c>
      <c r="K43" s="14" t="str">
        <f ca="1">R36</f>
        <v>00101101</v>
      </c>
      <c r="L43" s="7"/>
      <c r="M43" s="16" t="str">
        <f ca="1">'Encryption Calculations'!R23</f>
        <v>6F</v>
      </c>
      <c r="N43" s="265" t="str">
        <f ca="1">'Encryption Calculations'!S23</f>
        <v>50</v>
      </c>
      <c r="O43" s="265" t="str">
        <f ca="1">'Encryption Calculations'!T23</f>
        <v>6F</v>
      </c>
      <c r="P43" s="88" t="str">
        <f ca="1">'Encryption Calculations'!U23</f>
        <v>2D</v>
      </c>
    </row>
    <row r="44" spans="2:18" x14ac:dyDescent="0.25">
      <c r="C44" s="268"/>
      <c r="D44" s="265"/>
      <c r="E44" s="265"/>
      <c r="F44" s="265"/>
      <c r="G44" s="3"/>
      <c r="H44" s="268"/>
      <c r="I44" s="265"/>
      <c r="J44" s="265"/>
      <c r="K44" s="268"/>
      <c r="L44" s="3"/>
      <c r="P44" s="6"/>
    </row>
    <row r="45" spans="2:18" x14ac:dyDescent="0.25">
      <c r="C45" s="3"/>
      <c r="D45" s="3"/>
      <c r="E45" s="3"/>
      <c r="F45" s="3"/>
      <c r="G45" s="3"/>
      <c r="H45" s="3"/>
      <c r="K45" s="3"/>
      <c r="L45" s="3"/>
    </row>
    <row r="46" spans="2:18" ht="26.25" x14ac:dyDescent="0.4">
      <c r="B46" s="120" t="s">
        <v>251</v>
      </c>
      <c r="C46" s="3"/>
      <c r="K46" s="3"/>
      <c r="L46" s="3"/>
    </row>
    <row r="47" spans="2:18" ht="15.75" thickBot="1" x14ac:dyDescent="0.3">
      <c r="F47" s="2"/>
      <c r="H47" s="339" t="s">
        <v>256</v>
      </c>
      <c r="I47" s="339"/>
      <c r="J47" s="339"/>
      <c r="K47" s="339"/>
      <c r="L47" s="265"/>
      <c r="M47" s="339" t="s">
        <v>258</v>
      </c>
      <c r="N47" s="339"/>
      <c r="O47" s="339"/>
      <c r="P47" s="339"/>
    </row>
    <row r="48" spans="2:18" x14ac:dyDescent="0.25">
      <c r="C48" s="8" t="s">
        <v>26</v>
      </c>
      <c r="D48" s="265" t="s">
        <v>30</v>
      </c>
      <c r="E48" s="265" t="s">
        <v>34</v>
      </c>
      <c r="F48" s="11" t="s">
        <v>38</v>
      </c>
      <c r="G48" s="7"/>
      <c r="H48" s="273" t="str">
        <f ca="1">'Encryption Calculations'!H61</f>
        <v>10010011</v>
      </c>
      <c r="I48" s="268" t="str">
        <f ca="1">'Encryption Calculations'!I61</f>
        <v>01000101</v>
      </c>
      <c r="J48" s="268" t="str">
        <f ca="1">'Encryption Calculations'!J61</f>
        <v>10000101</v>
      </c>
      <c r="K48" s="11" t="str">
        <f ca="1">'Encryption Calculations'!K61</f>
        <v>11011000</v>
      </c>
      <c r="L48" s="4"/>
      <c r="M48" s="8" t="str">
        <f ca="1">'Encryption Calculations'!R61</f>
        <v>93</v>
      </c>
      <c r="N48" s="265" t="str">
        <f ca="1">'Encryption Calculations'!S61</f>
        <v>45</v>
      </c>
      <c r="O48" s="265" t="str">
        <f ca="1">'Encryption Calculations'!T61</f>
        <v>85</v>
      </c>
      <c r="P48" s="11" t="str">
        <f ca="1">'Encryption Calculations'!U61</f>
        <v>D8</v>
      </c>
    </row>
    <row r="49" spans="2:18" ht="21" x14ac:dyDescent="0.35">
      <c r="C49" s="9" t="s">
        <v>27</v>
      </c>
      <c r="D49" s="265" t="s">
        <v>31</v>
      </c>
      <c r="E49" s="265" t="s">
        <v>35</v>
      </c>
      <c r="F49" s="88" t="s">
        <v>39</v>
      </c>
      <c r="G49" s="19" t="s">
        <v>8</v>
      </c>
      <c r="H49" s="268" t="str">
        <f ca="1">'Encryption Calculations'!H62</f>
        <v>00111011</v>
      </c>
      <c r="I49" s="268" t="str">
        <f ca="1">'Encryption Calculations'!I62</f>
        <v>00000010</v>
      </c>
      <c r="J49" s="268" t="str">
        <f ca="1">'Encryption Calculations'!J62</f>
        <v>00100001</v>
      </c>
      <c r="K49" s="88" t="str">
        <f ca="1">'Encryption Calculations'!K62</f>
        <v>01110001</v>
      </c>
      <c r="L49" s="44" t="s">
        <v>8</v>
      </c>
      <c r="M49" s="265" t="str">
        <f ca="1">'Encryption Calculations'!R62</f>
        <v>3B</v>
      </c>
      <c r="N49" s="265" t="str">
        <f ca="1">'Encryption Calculations'!S62</f>
        <v>02</v>
      </c>
      <c r="O49" s="265" t="str">
        <f ca="1">'Encryption Calculations'!T62</f>
        <v>21</v>
      </c>
      <c r="P49" s="88" t="str">
        <f ca="1">'Encryption Calculations'!U62</f>
        <v>71</v>
      </c>
    </row>
    <row r="50" spans="2:18" x14ac:dyDescent="0.25">
      <c r="C50" s="9" t="s">
        <v>28</v>
      </c>
      <c r="D50" s="265" t="s">
        <v>32</v>
      </c>
      <c r="E50" s="265" t="s">
        <v>36</v>
      </c>
      <c r="F50" s="88" t="s">
        <v>40</v>
      </c>
      <c r="G50" s="7"/>
      <c r="H50" s="268" t="str">
        <f ca="1">'Encryption Calculations'!H63</f>
        <v>10000101</v>
      </c>
      <c r="I50" s="268" t="str">
        <f ca="1">'Encryption Calculations'!I63</f>
        <v>11110111</v>
      </c>
      <c r="J50" s="268" t="str">
        <f ca="1">'Encryption Calculations'!J63</f>
        <v>00110011</v>
      </c>
      <c r="K50" s="88" t="str">
        <f ca="1">'Encryption Calculations'!K63</f>
        <v>00010101</v>
      </c>
      <c r="L50" s="4"/>
      <c r="M50" s="265" t="str">
        <f ca="1">'Encryption Calculations'!R63</f>
        <v>85</v>
      </c>
      <c r="N50" s="265" t="str">
        <f ca="1">'Encryption Calculations'!S63</f>
        <v>F7</v>
      </c>
      <c r="O50" s="265" t="str">
        <f ca="1">'Encryption Calculations'!T63</f>
        <v>33</v>
      </c>
      <c r="P50" s="88" t="str">
        <f ca="1">'Encryption Calculations'!U63</f>
        <v>15</v>
      </c>
    </row>
    <row r="51" spans="2:18" ht="15.75" thickBot="1" x14ac:dyDescent="0.3">
      <c r="C51" s="16" t="s">
        <v>29</v>
      </c>
      <c r="D51" s="265" t="s">
        <v>33</v>
      </c>
      <c r="E51" s="265" t="s">
        <v>37</v>
      </c>
      <c r="F51" s="88" t="s">
        <v>41</v>
      </c>
      <c r="G51" s="7"/>
      <c r="H51" s="268" t="str">
        <f ca="1">'Encryption Calculations'!H64</f>
        <v>10101000</v>
      </c>
      <c r="I51" s="268" t="str">
        <f ca="1">'Encryption Calculations'!I64</f>
        <v>01010011</v>
      </c>
      <c r="J51" s="268" t="str">
        <f ca="1">'Encryption Calculations'!J64</f>
        <v>10101000</v>
      </c>
      <c r="K51" s="88" t="str">
        <f ca="1">'Encryption Calculations'!K64</f>
        <v>11011000</v>
      </c>
      <c r="L51" s="4"/>
      <c r="M51" s="16" t="str">
        <f ca="1">'Encryption Calculations'!R64</f>
        <v>A8</v>
      </c>
      <c r="N51" s="265" t="str">
        <f ca="1">'Encryption Calculations'!S64</f>
        <v>53</v>
      </c>
      <c r="O51" s="265" t="str">
        <f ca="1">'Encryption Calculations'!T64</f>
        <v>A8</v>
      </c>
      <c r="P51" s="88" t="str">
        <f ca="1">'Encryption Calculations'!U64</f>
        <v>D8</v>
      </c>
    </row>
    <row r="52" spans="2:18" x14ac:dyDescent="0.25">
      <c r="F52" s="6"/>
      <c r="G52" s="3"/>
      <c r="H52" s="6"/>
      <c r="K52" s="6"/>
      <c r="P52" s="6"/>
    </row>
    <row r="53" spans="2:18" x14ac:dyDescent="0.25">
      <c r="F53" s="3"/>
      <c r="G53" s="3"/>
      <c r="H53" s="3"/>
      <c r="K53" s="3"/>
      <c r="P53" s="3"/>
    </row>
    <row r="54" spans="2:18" x14ac:dyDescent="0.25">
      <c r="F54" s="3"/>
      <c r="G54" s="3"/>
      <c r="H54" s="3"/>
      <c r="K54" s="3"/>
      <c r="P54" s="3"/>
    </row>
    <row r="55" spans="2:18" x14ac:dyDescent="0.25">
      <c r="M55" s="3"/>
      <c r="N55" s="3"/>
      <c r="O55" s="3"/>
      <c r="P55" s="3"/>
    </row>
    <row r="56" spans="2:18" ht="26.25" x14ac:dyDescent="0.4">
      <c r="B56" s="120" t="s">
        <v>43</v>
      </c>
      <c r="G56" s="3"/>
      <c r="M56" s="3"/>
      <c r="N56" s="3"/>
      <c r="O56" s="3"/>
      <c r="P56" s="3"/>
    </row>
    <row r="57" spans="2:18" ht="15.75" thickBot="1" x14ac:dyDescent="0.3">
      <c r="D57" s="3"/>
      <c r="E57" s="3"/>
      <c r="F57" s="3"/>
      <c r="G57" s="3"/>
      <c r="H57" s="339" t="s">
        <v>256</v>
      </c>
      <c r="I57" s="339"/>
      <c r="J57" s="339"/>
      <c r="K57" s="339"/>
      <c r="L57" s="265"/>
      <c r="M57" s="339" t="s">
        <v>258</v>
      </c>
      <c r="N57" s="339"/>
      <c r="O57" s="339"/>
      <c r="P57" s="339"/>
    </row>
    <row r="58" spans="2:18" x14ac:dyDescent="0.25">
      <c r="B58" s="88" t="s">
        <v>44</v>
      </c>
      <c r="C58" s="273" t="s">
        <v>26</v>
      </c>
      <c r="D58" s="268" t="s">
        <v>30</v>
      </c>
      <c r="E58" s="268" t="s">
        <v>34</v>
      </c>
      <c r="F58" s="11" t="s">
        <v>38</v>
      </c>
      <c r="G58" s="7"/>
      <c r="H58" s="8" t="str">
        <f ca="1">Encyrption!H48</f>
        <v>10010011</v>
      </c>
      <c r="I58" s="268" t="str">
        <f ca="1">Encyrption!I48</f>
        <v>01000101</v>
      </c>
      <c r="J58" s="268" t="str">
        <f ca="1">Encyrption!J48</f>
        <v>10000101</v>
      </c>
      <c r="K58" s="11" t="str">
        <f ca="1">Encyrption!K48</f>
        <v>11011000</v>
      </c>
      <c r="L58" s="7"/>
      <c r="M58" s="273" t="str">
        <f ca="1">'Encryption Calculations'!R70</f>
        <v>93</v>
      </c>
      <c r="N58" s="265" t="str">
        <f ca="1">'Encryption Calculations'!S70</f>
        <v>45</v>
      </c>
      <c r="O58" s="265" t="str">
        <f ca="1">'Encryption Calculations'!T70</f>
        <v>85</v>
      </c>
      <c r="P58" s="11" t="str">
        <f ca="1">'Encryption Calculations'!U70</f>
        <v>D8</v>
      </c>
    </row>
    <row r="59" spans="2:18" ht="21" x14ac:dyDescent="0.35">
      <c r="B59" s="88" t="s">
        <v>45</v>
      </c>
      <c r="C59" s="268" t="s">
        <v>31</v>
      </c>
      <c r="D59" s="268" t="s">
        <v>35</v>
      </c>
      <c r="E59" s="268" t="s">
        <v>39</v>
      </c>
      <c r="F59" s="88" t="s">
        <v>27</v>
      </c>
      <c r="G59" s="21" t="s">
        <v>8</v>
      </c>
      <c r="H59" s="9" t="str">
        <f ca="1">Encyrption!H49</f>
        <v>00111011</v>
      </c>
      <c r="I59" s="268" t="str">
        <f ca="1">Encyrption!I49</f>
        <v>00000010</v>
      </c>
      <c r="J59" s="268" t="str">
        <f ca="1">Encyrption!J49</f>
        <v>00100001</v>
      </c>
      <c r="K59" s="88" t="str">
        <f ca="1">Encyrption!K49</f>
        <v>01110001</v>
      </c>
      <c r="L59" s="17" t="s">
        <v>8</v>
      </c>
      <c r="M59" s="265" t="str">
        <f ca="1">'Encryption Calculations'!R71</f>
        <v>02</v>
      </c>
      <c r="N59" s="265" t="str">
        <f ca="1">'Encryption Calculations'!S71</f>
        <v>21</v>
      </c>
      <c r="O59" s="265" t="str">
        <f ca="1">'Encryption Calculations'!T71</f>
        <v>71</v>
      </c>
      <c r="P59" s="88" t="str">
        <f ca="1">'Encryption Calculations'!U71</f>
        <v>3B</v>
      </c>
    </row>
    <row r="60" spans="2:18" x14ac:dyDescent="0.25">
      <c r="B60" s="88" t="s">
        <v>46</v>
      </c>
      <c r="C60" s="268" t="s">
        <v>36</v>
      </c>
      <c r="D60" s="268" t="s">
        <v>40</v>
      </c>
      <c r="E60" s="268" t="s">
        <v>28</v>
      </c>
      <c r="F60" s="88" t="s">
        <v>32</v>
      </c>
      <c r="G60" s="4"/>
      <c r="H60" s="9" t="str">
        <f ca="1">Encyrption!H50</f>
        <v>10000101</v>
      </c>
      <c r="I60" s="268" t="str">
        <f ca="1">Encyrption!I50</f>
        <v>11110111</v>
      </c>
      <c r="J60" s="268" t="str">
        <f ca="1">Encyrption!J50</f>
        <v>00110011</v>
      </c>
      <c r="K60" s="88" t="str">
        <f ca="1">Encyrption!K50</f>
        <v>00010101</v>
      </c>
      <c r="L60" s="7"/>
      <c r="M60" s="265" t="str">
        <f ca="1">'Encryption Calculations'!R72</f>
        <v>33</v>
      </c>
      <c r="N60" s="265" t="str">
        <f ca="1">'Encryption Calculations'!S72</f>
        <v>15</v>
      </c>
      <c r="O60" s="265" t="str">
        <f ca="1">'Encryption Calculations'!T72</f>
        <v>85</v>
      </c>
      <c r="P60" s="88" t="str">
        <f ca="1">'Encryption Calculations'!U72</f>
        <v>F7</v>
      </c>
    </row>
    <row r="61" spans="2:18" ht="15.75" thickBot="1" x14ac:dyDescent="0.3">
      <c r="B61" s="88" t="s">
        <v>47</v>
      </c>
      <c r="C61" s="16" t="s">
        <v>41</v>
      </c>
      <c r="D61" s="268" t="s">
        <v>29</v>
      </c>
      <c r="E61" s="268" t="s">
        <v>33</v>
      </c>
      <c r="F61" s="14" t="s">
        <v>37</v>
      </c>
      <c r="G61" s="4"/>
      <c r="H61" s="268" t="str">
        <f ca="1">Encyrption!H51</f>
        <v>10101000</v>
      </c>
      <c r="I61" s="268" t="str">
        <f ca="1">Encyrption!I51</f>
        <v>01010011</v>
      </c>
      <c r="J61" s="268" t="str">
        <f ca="1">Encyrption!J51</f>
        <v>10101000</v>
      </c>
      <c r="K61" s="14" t="str">
        <f ca="1">Encyrption!K51</f>
        <v>11011000</v>
      </c>
      <c r="L61" s="7"/>
      <c r="M61" s="16" t="str">
        <f ca="1">'Encryption Calculations'!R73</f>
        <v>D8</v>
      </c>
      <c r="N61" s="265" t="str">
        <f ca="1">'Encryption Calculations'!S73</f>
        <v>A8</v>
      </c>
      <c r="O61" s="265" t="str">
        <f ca="1">'Encryption Calculations'!T73</f>
        <v>53</v>
      </c>
      <c r="P61" s="14" t="str">
        <f ca="1">'Encryption Calculations'!U73</f>
        <v>A8</v>
      </c>
    </row>
    <row r="62" spans="2:18" x14ac:dyDescent="0.25">
      <c r="B62" s="3"/>
      <c r="C62" s="6"/>
      <c r="D62" s="3"/>
      <c r="E62" s="3"/>
      <c r="F62" s="3"/>
      <c r="G62" s="3"/>
      <c r="H62" s="6"/>
      <c r="I62" s="3"/>
      <c r="J62" s="3"/>
      <c r="K62" s="3"/>
      <c r="L62" s="3"/>
      <c r="M62" s="3"/>
    </row>
    <row r="63" spans="2:18" x14ac:dyDescent="0.25">
      <c r="D63" s="3"/>
      <c r="L63" s="3"/>
      <c r="M63" s="3"/>
      <c r="N63" s="3"/>
      <c r="O63" s="3"/>
      <c r="P63" s="3"/>
      <c r="R63" s="3"/>
    </row>
    <row r="64" spans="2:18" ht="26.25" x14ac:dyDescent="0.4">
      <c r="B64" s="120" t="s">
        <v>48</v>
      </c>
      <c r="M64" s="3"/>
      <c r="N64" s="3"/>
      <c r="O64" s="3"/>
      <c r="P64" s="3"/>
    </row>
    <row r="65" spans="2:18" x14ac:dyDescent="0.25">
      <c r="M65" s="3"/>
      <c r="N65" s="3"/>
      <c r="O65" s="3"/>
      <c r="P65" s="3"/>
    </row>
    <row r="66" spans="2:18" x14ac:dyDescent="0.25">
      <c r="C66" s="1"/>
      <c r="D66" s="1"/>
      <c r="E66" s="340" t="s">
        <v>50</v>
      </c>
      <c r="F66" s="340"/>
      <c r="G66" s="340"/>
      <c r="H66" s="340"/>
      <c r="M66" s="3"/>
      <c r="N66" s="3"/>
      <c r="O66" s="3"/>
      <c r="P66" s="3"/>
    </row>
    <row r="67" spans="2:18" ht="15.75" thickBot="1" x14ac:dyDescent="0.3">
      <c r="B67" s="3"/>
      <c r="C67" s="3"/>
      <c r="D67" s="3"/>
      <c r="E67" s="271">
        <v>0</v>
      </c>
      <c r="F67" s="271">
        <v>1</v>
      </c>
      <c r="G67" s="271">
        <v>2</v>
      </c>
      <c r="H67" s="271">
        <v>3</v>
      </c>
      <c r="I67" s="3"/>
      <c r="O67" s="3"/>
      <c r="P67" s="3"/>
      <c r="Q67" s="3"/>
      <c r="R67" s="3"/>
    </row>
    <row r="68" spans="2:18" x14ac:dyDescent="0.25">
      <c r="B68" s="3"/>
      <c r="C68" s="336" t="s">
        <v>49</v>
      </c>
      <c r="D68" s="270">
        <v>0</v>
      </c>
      <c r="E68" s="8" t="s">
        <v>26</v>
      </c>
      <c r="F68" s="268" t="s">
        <v>30</v>
      </c>
      <c r="G68" s="268" t="s">
        <v>34</v>
      </c>
      <c r="H68" s="11" t="s">
        <v>38</v>
      </c>
      <c r="I68" s="3"/>
    </row>
    <row r="69" spans="2:18" ht="21" x14ac:dyDescent="0.35">
      <c r="B69" s="3"/>
      <c r="C69" s="336"/>
      <c r="D69" s="270">
        <v>1</v>
      </c>
      <c r="E69" s="268" t="s">
        <v>31</v>
      </c>
      <c r="F69" s="268" t="s">
        <v>35</v>
      </c>
      <c r="G69" s="268" t="s">
        <v>39</v>
      </c>
      <c r="H69" s="88" t="s">
        <v>27</v>
      </c>
      <c r="I69" s="3"/>
      <c r="P69" s="20"/>
    </row>
    <row r="70" spans="2:18" x14ac:dyDescent="0.25">
      <c r="B70" s="3"/>
      <c r="C70" s="336"/>
      <c r="D70" s="270">
        <v>2</v>
      </c>
      <c r="E70" s="268" t="s">
        <v>36</v>
      </c>
      <c r="F70" s="268" t="s">
        <v>40</v>
      </c>
      <c r="G70" s="268" t="s">
        <v>28</v>
      </c>
      <c r="H70" s="88" t="s">
        <v>32</v>
      </c>
      <c r="I70" s="3"/>
      <c r="O70" s="3"/>
    </row>
    <row r="71" spans="2:18" ht="15.75" thickBot="1" x14ac:dyDescent="0.3">
      <c r="B71" s="3"/>
      <c r="C71" s="336"/>
      <c r="D71" s="270">
        <v>3</v>
      </c>
      <c r="E71" s="16" t="s">
        <v>41</v>
      </c>
      <c r="F71" s="268" t="s">
        <v>29</v>
      </c>
      <c r="G71" s="268" t="s">
        <v>33</v>
      </c>
      <c r="H71" s="14" t="s">
        <v>37</v>
      </c>
      <c r="I71" s="3"/>
      <c r="O71" s="3"/>
    </row>
    <row r="72" spans="2:18" x14ac:dyDescent="0.25">
      <c r="B72" s="3"/>
      <c r="C72" s="3"/>
      <c r="D72" s="3"/>
      <c r="E72" s="3"/>
      <c r="F72" s="3"/>
      <c r="I72" s="3"/>
      <c r="M72" s="3"/>
      <c r="O72" s="3"/>
    </row>
    <row r="73" spans="2:18" x14ac:dyDescent="0.25">
      <c r="I73" s="3"/>
      <c r="O73" s="3"/>
    </row>
    <row r="74" spans="2:18" ht="15.75" thickBot="1" x14ac:dyDescent="0.3">
      <c r="D74" s="3"/>
      <c r="E74" s="3"/>
      <c r="J74" s="339" t="s">
        <v>256</v>
      </c>
      <c r="K74" s="339"/>
      <c r="L74" s="339"/>
      <c r="M74" s="339"/>
      <c r="N74" s="265"/>
      <c r="O74" s="339" t="s">
        <v>258</v>
      </c>
      <c r="P74" s="339"/>
      <c r="Q74" s="339"/>
      <c r="R74" s="339"/>
    </row>
    <row r="75" spans="2:18" x14ac:dyDescent="0.25">
      <c r="B75" s="4"/>
      <c r="C75" s="273">
        <v>2</v>
      </c>
      <c r="D75" s="265">
        <v>3</v>
      </c>
      <c r="E75" s="265">
        <v>1</v>
      </c>
      <c r="F75" s="11">
        <v>1</v>
      </c>
      <c r="H75" s="12" t="s">
        <v>51</v>
      </c>
      <c r="I75" s="7"/>
      <c r="J75" s="8" t="str">
        <f ca="1">'Encryption Calculations'!H143</f>
        <v>11010000</v>
      </c>
      <c r="K75" s="265" t="str">
        <f ca="1">'Encryption Calculations'!I143</f>
        <v>01010100</v>
      </c>
      <c r="L75" s="265" t="str">
        <f ca="1">'Encryption Calculations'!J143</f>
        <v>01010100</v>
      </c>
      <c r="M75" s="11" t="str">
        <f ca="1">'Encryption Calculations'!K143</f>
        <v>10111001</v>
      </c>
      <c r="N75" s="7"/>
      <c r="O75" s="273" t="str">
        <f ca="1">'Encryption Calculations'!R143</f>
        <v>D0</v>
      </c>
      <c r="P75" s="265" t="str">
        <f ca="1">'Encryption Calculations'!S143</f>
        <v>54</v>
      </c>
      <c r="Q75" s="265" t="str">
        <f ca="1">'Encryption Calculations'!T143</f>
        <v>54</v>
      </c>
      <c r="R75" s="11" t="str">
        <f ca="1">'Encryption Calculations'!U143</f>
        <v>B9</v>
      </c>
    </row>
    <row r="76" spans="2:18" ht="21" x14ac:dyDescent="0.35">
      <c r="B76" s="4"/>
      <c r="C76" s="265">
        <v>1</v>
      </c>
      <c r="D76" s="265">
        <v>2</v>
      </c>
      <c r="E76" s="265">
        <v>3</v>
      </c>
      <c r="F76" s="88">
        <v>1</v>
      </c>
      <c r="G76" s="22" t="s">
        <v>25</v>
      </c>
      <c r="H76" s="12" t="s">
        <v>51</v>
      </c>
      <c r="I76" s="17" t="s">
        <v>8</v>
      </c>
      <c r="J76" s="265" t="str">
        <f ca="1">'Encryption Calculations'!H144</f>
        <v>00011010</v>
      </c>
      <c r="K76" s="265" t="str">
        <f ca="1">'Encryption Calculations'!I144</f>
        <v>10010000</v>
      </c>
      <c r="L76" s="265" t="str">
        <f ca="1">'Encryption Calculations'!J144</f>
        <v>10100000</v>
      </c>
      <c r="M76" s="88" t="str">
        <f ca="1">'Encryption Calculations'!K144</f>
        <v>00000100</v>
      </c>
      <c r="N76" s="17" t="s">
        <v>8</v>
      </c>
      <c r="O76" s="265" t="str">
        <f ca="1">'Encryption Calculations'!R144</f>
        <v>1A</v>
      </c>
      <c r="P76" s="265" t="str">
        <f ca="1">'Encryption Calculations'!S144</f>
        <v>90</v>
      </c>
      <c r="Q76" s="265" t="str">
        <f ca="1">'Encryption Calculations'!T144</f>
        <v>A0</v>
      </c>
      <c r="R76" s="88" t="str">
        <f ca="1">'Encryption Calculations'!U144</f>
        <v>04</v>
      </c>
    </row>
    <row r="77" spans="2:18" x14ac:dyDescent="0.25">
      <c r="B77" s="4"/>
      <c r="C77" s="265">
        <v>1</v>
      </c>
      <c r="D77" s="265">
        <v>1</v>
      </c>
      <c r="E77" s="265">
        <v>2</v>
      </c>
      <c r="F77" s="88">
        <v>3</v>
      </c>
      <c r="H77" s="12" t="s">
        <v>51</v>
      </c>
      <c r="I77" s="7"/>
      <c r="J77" s="265" t="str">
        <f ca="1">'Encryption Calculations'!H145</f>
        <v>10000100</v>
      </c>
      <c r="K77" s="265" t="str">
        <f ca="1">'Encryption Calculations'!I145</f>
        <v>10101101</v>
      </c>
      <c r="L77" s="265" t="str">
        <f ca="1">'Encryption Calculations'!J145</f>
        <v>00010000</v>
      </c>
      <c r="M77" s="88" t="str">
        <f ca="1">'Encryption Calculations'!K145</f>
        <v>11110101</v>
      </c>
      <c r="N77" s="7"/>
      <c r="O77" s="265" t="str">
        <f ca="1">'Encryption Calculations'!R145</f>
        <v>84</v>
      </c>
      <c r="P77" s="265" t="str">
        <f ca="1">'Encryption Calculations'!S145</f>
        <v>AD</v>
      </c>
      <c r="Q77" s="265" t="str">
        <f ca="1">'Encryption Calculations'!T145</f>
        <v>10</v>
      </c>
      <c r="R77" s="88" t="str">
        <f ca="1">'Encryption Calculations'!U145</f>
        <v>F5</v>
      </c>
    </row>
    <row r="78" spans="2:18" ht="15.75" thickBot="1" x14ac:dyDescent="0.3">
      <c r="C78" s="16">
        <v>3</v>
      </c>
      <c r="D78" s="265">
        <v>1</v>
      </c>
      <c r="E78" s="265">
        <v>1</v>
      </c>
      <c r="F78" s="14">
        <v>2</v>
      </c>
      <c r="H78" s="12" t="s">
        <v>51</v>
      </c>
      <c r="I78" s="7"/>
      <c r="J78" s="16" t="str">
        <f ca="1">'Encryption Calculations'!H146</f>
        <v>00110100</v>
      </c>
      <c r="K78" s="265" t="str">
        <f ca="1">'Encryption Calculations'!I146</f>
        <v>10110000</v>
      </c>
      <c r="L78" s="265" t="str">
        <f ca="1">'Encryption Calculations'!J146</f>
        <v>11000110</v>
      </c>
      <c r="M78" s="14" t="str">
        <f ca="1">'Encryption Calculations'!K146</f>
        <v>11110100</v>
      </c>
      <c r="N78" s="7"/>
      <c r="O78" s="16" t="str">
        <f ca="1">'Encryption Calculations'!R146</f>
        <v>34</v>
      </c>
      <c r="P78" s="265" t="str">
        <f ca="1">'Encryption Calculations'!S146</f>
        <v>B0</v>
      </c>
      <c r="Q78" s="265" t="str">
        <f ca="1">'Encryption Calculations'!T146</f>
        <v>C6</v>
      </c>
      <c r="R78" s="88" t="str">
        <f ca="1">'Encryption Calculations'!U146</f>
        <v>F4</v>
      </c>
    </row>
    <row r="79" spans="2:18" x14ac:dyDescent="0.25">
      <c r="H79" s="3"/>
      <c r="R79" s="6"/>
    </row>
    <row r="80" spans="2:18" ht="15.75" thickBot="1" x14ac:dyDescent="0.3">
      <c r="H80" s="339" t="s">
        <v>256</v>
      </c>
      <c r="I80" s="339"/>
      <c r="J80" s="339"/>
      <c r="K80" s="339"/>
      <c r="L80" s="28"/>
      <c r="M80" s="339" t="s">
        <v>258</v>
      </c>
      <c r="N80" s="339"/>
      <c r="O80" s="339"/>
      <c r="P80" s="339"/>
      <c r="Q80" s="28"/>
    </row>
    <row r="81" spans="2:17" x14ac:dyDescent="0.25">
      <c r="B81" s="4"/>
      <c r="C81" s="273" t="s">
        <v>56</v>
      </c>
      <c r="D81" s="268" t="s">
        <v>60</v>
      </c>
      <c r="E81" s="268" t="s">
        <v>64</v>
      </c>
      <c r="F81" s="11" t="s">
        <v>68</v>
      </c>
      <c r="G81" s="4"/>
      <c r="H81" s="8" t="str">
        <f ca="1">'Encryption Calculations'!H143</f>
        <v>11010000</v>
      </c>
      <c r="I81" s="268" t="str">
        <f ca="1">'Encryption Calculations'!I143</f>
        <v>01010100</v>
      </c>
      <c r="J81" s="268" t="str">
        <f ca="1">'Encryption Calculations'!J143</f>
        <v>01010100</v>
      </c>
      <c r="K81" s="273" t="str">
        <f ca="1">'Encryption Calculations'!K143</f>
        <v>10111001</v>
      </c>
      <c r="L81" s="7"/>
      <c r="M81" s="273" t="str">
        <f ca="1">'Encryption Calculations'!R143</f>
        <v>D0</v>
      </c>
      <c r="N81" s="268" t="str">
        <f ca="1">'Encryption Calculations'!S143</f>
        <v>54</v>
      </c>
      <c r="O81" s="268" t="str">
        <f ca="1">'Encryption Calculations'!T143</f>
        <v>54</v>
      </c>
      <c r="P81" s="11" t="str">
        <f ca="1">'Encryption Calculations'!U143</f>
        <v>B9</v>
      </c>
    </row>
    <row r="82" spans="2:17" ht="21" x14ac:dyDescent="0.35">
      <c r="B82" s="4"/>
      <c r="C82" s="268" t="s">
        <v>57</v>
      </c>
      <c r="D82" s="268" t="s">
        <v>61</v>
      </c>
      <c r="E82" s="268" t="s">
        <v>65</v>
      </c>
      <c r="F82" s="88" t="s">
        <v>69</v>
      </c>
      <c r="G82" s="121" t="s">
        <v>8</v>
      </c>
      <c r="H82" s="9" t="str">
        <f ca="1">'Encryption Calculations'!H144</f>
        <v>00011010</v>
      </c>
      <c r="I82" s="268" t="str">
        <f ca="1">'Encryption Calculations'!I144</f>
        <v>10010000</v>
      </c>
      <c r="J82" s="268" t="str">
        <f ca="1">'Encryption Calculations'!J144</f>
        <v>10100000</v>
      </c>
      <c r="K82" s="268" t="str">
        <f ca="1">'Encryption Calculations'!K144</f>
        <v>00000100</v>
      </c>
      <c r="L82" s="17" t="s">
        <v>8</v>
      </c>
      <c r="M82" s="268" t="str">
        <f ca="1">'Encryption Calculations'!R144</f>
        <v>1A</v>
      </c>
      <c r="N82" s="268" t="str">
        <f ca="1">'Encryption Calculations'!S144</f>
        <v>90</v>
      </c>
      <c r="O82" s="268" t="str">
        <f ca="1">'Encryption Calculations'!T144</f>
        <v>A0</v>
      </c>
      <c r="P82" s="88" t="str">
        <f ca="1">'Encryption Calculations'!U144</f>
        <v>04</v>
      </c>
    </row>
    <row r="83" spans="2:17" x14ac:dyDescent="0.25">
      <c r="B83" s="4"/>
      <c r="C83" s="268" t="s">
        <v>58</v>
      </c>
      <c r="D83" s="268" t="s">
        <v>62</v>
      </c>
      <c r="E83" s="268" t="s">
        <v>66</v>
      </c>
      <c r="F83" s="88" t="s">
        <v>70</v>
      </c>
      <c r="G83" s="3"/>
      <c r="H83" s="9" t="str">
        <f ca="1">'Encryption Calculations'!H145</f>
        <v>10000100</v>
      </c>
      <c r="I83" s="268" t="str">
        <f ca="1">'Encryption Calculations'!I145</f>
        <v>10101101</v>
      </c>
      <c r="J83" s="268" t="str">
        <f ca="1">'Encryption Calculations'!J145</f>
        <v>00010000</v>
      </c>
      <c r="K83" s="268" t="str">
        <f ca="1">'Encryption Calculations'!K145</f>
        <v>11110101</v>
      </c>
      <c r="L83" s="7"/>
      <c r="M83" s="268" t="str">
        <f ca="1">'Encryption Calculations'!R145</f>
        <v>84</v>
      </c>
      <c r="N83" s="268" t="str">
        <f ca="1">'Encryption Calculations'!S145</f>
        <v>AD</v>
      </c>
      <c r="O83" s="268" t="str">
        <f ca="1">'Encryption Calculations'!T145</f>
        <v>10</v>
      </c>
      <c r="P83" s="88" t="str">
        <f ca="1">'Encryption Calculations'!U145</f>
        <v>F5</v>
      </c>
      <c r="Q83" s="3"/>
    </row>
    <row r="84" spans="2:17" ht="15.75" thickBot="1" x14ac:dyDescent="0.3">
      <c r="B84" s="4"/>
      <c r="C84" s="268" t="s">
        <v>59</v>
      </c>
      <c r="D84" s="268" t="s">
        <v>63</v>
      </c>
      <c r="E84" s="268" t="s">
        <v>67</v>
      </c>
      <c r="F84" s="14" t="s">
        <v>71</v>
      </c>
      <c r="G84" s="3"/>
      <c r="H84" s="16" t="str">
        <f ca="1">'Encryption Calculations'!H146</f>
        <v>00110100</v>
      </c>
      <c r="I84" s="268" t="str">
        <f ca="1">'Encryption Calculations'!I146</f>
        <v>10110000</v>
      </c>
      <c r="J84" s="268" t="str">
        <f ca="1">'Encryption Calculations'!J146</f>
        <v>11000110</v>
      </c>
      <c r="K84" s="268" t="str">
        <f ca="1">'Encryption Calculations'!K146</f>
        <v>11110100</v>
      </c>
      <c r="L84" s="5"/>
      <c r="M84" s="9" t="str">
        <f ca="1">'Encryption Calculations'!R146</f>
        <v>34</v>
      </c>
      <c r="N84" s="268" t="str">
        <f ca="1">'Encryption Calculations'!S146</f>
        <v>B0</v>
      </c>
      <c r="O84" s="268" t="str">
        <f ca="1">'Encryption Calculations'!T146</f>
        <v>C6</v>
      </c>
      <c r="P84" s="14" t="str">
        <f ca="1">'Encryption Calculations'!U146</f>
        <v>F4</v>
      </c>
      <c r="Q84" s="3"/>
    </row>
    <row r="85" spans="2:17" x14ac:dyDescent="0.25">
      <c r="C85" s="6"/>
      <c r="G85" s="3"/>
      <c r="H85" s="3"/>
      <c r="I85" s="3"/>
      <c r="K85" s="6"/>
      <c r="M85" s="6"/>
      <c r="N85" s="3"/>
      <c r="O85" s="3"/>
      <c r="P85" s="6"/>
      <c r="Q85" s="3"/>
    </row>
    <row r="87" spans="2:17" ht="26.25" x14ac:dyDescent="0.4">
      <c r="B87" s="120" t="s">
        <v>294</v>
      </c>
    </row>
    <row r="89" spans="2:17" ht="18.75" x14ac:dyDescent="0.3">
      <c r="B89" s="26" t="s">
        <v>74</v>
      </c>
    </row>
    <row r="90" spans="2:17" ht="15.75" thickBot="1" x14ac:dyDescent="0.3">
      <c r="D90" s="337" t="s">
        <v>262</v>
      </c>
      <c r="E90" s="337"/>
      <c r="F90" s="337"/>
      <c r="G90" s="337"/>
      <c r="I90" s="337" t="s">
        <v>261</v>
      </c>
      <c r="J90" s="337"/>
      <c r="K90" s="337"/>
      <c r="L90" s="337"/>
    </row>
    <row r="91" spans="2:17" x14ac:dyDescent="0.25">
      <c r="C91" s="4"/>
      <c r="D91" s="11" t="s">
        <v>77</v>
      </c>
      <c r="E91" s="11" t="s">
        <v>78</v>
      </c>
      <c r="F91" s="11" t="s">
        <v>79</v>
      </c>
      <c r="G91" s="11" t="s">
        <v>76</v>
      </c>
      <c r="H91" s="7"/>
      <c r="I91" s="11" t="s">
        <v>77</v>
      </c>
      <c r="J91" s="11" t="s">
        <v>78</v>
      </c>
      <c r="K91" s="11" t="s">
        <v>79</v>
      </c>
      <c r="L91" s="61" t="s">
        <v>76</v>
      </c>
    </row>
    <row r="92" spans="2:17" x14ac:dyDescent="0.25">
      <c r="B92" s="95" t="s">
        <v>75</v>
      </c>
      <c r="C92" s="72"/>
      <c r="D92" s="88" t="str">
        <f ca="1">'Encryption Calculations'!D160</f>
        <v>00001101</v>
      </c>
      <c r="E92" s="88" t="str">
        <f ca="1">'Encryption Calculations'!E160</f>
        <v>00001110</v>
      </c>
      <c r="F92" s="88" t="str">
        <f ca="1">'Encryption Calculations'!F160</f>
        <v>00001111</v>
      </c>
      <c r="G92" s="88" t="str">
        <f ca="1">'Encryption Calculations'!G160</f>
        <v>00001100</v>
      </c>
      <c r="H92" s="10"/>
      <c r="I92" s="88" t="str">
        <f ca="1">'Encryption Calculations'!N160</f>
        <v>0D</v>
      </c>
      <c r="J92" s="88" t="str">
        <f ca="1">'Encryption Calculations'!O160</f>
        <v>0E</v>
      </c>
      <c r="K92" s="88" t="str">
        <f ca="1">'Encryption Calculations'!P160</f>
        <v>0F</v>
      </c>
      <c r="L92" s="88" t="str">
        <f ca="1">'Encryption Calculations'!Q160</f>
        <v>0C</v>
      </c>
    </row>
    <row r="93" spans="2:17" x14ac:dyDescent="0.25">
      <c r="B93" s="268"/>
      <c r="C93" s="268"/>
      <c r="D93" s="268"/>
      <c r="E93" s="265"/>
      <c r="F93" s="268"/>
      <c r="G93" s="268"/>
      <c r="J93" s="3"/>
      <c r="K93" s="3"/>
    </row>
    <row r="94" spans="2:17" ht="18.75" x14ac:dyDescent="0.3">
      <c r="B94" s="37" t="s">
        <v>251</v>
      </c>
    </row>
    <row r="95" spans="2:17" ht="15.75" thickBot="1" x14ac:dyDescent="0.3">
      <c r="D95" s="337" t="s">
        <v>288</v>
      </c>
      <c r="E95" s="337"/>
      <c r="F95" s="337"/>
      <c r="G95" s="337"/>
      <c r="I95" s="337" t="s">
        <v>289</v>
      </c>
      <c r="J95" s="337"/>
      <c r="K95" s="337"/>
      <c r="L95" s="337"/>
    </row>
    <row r="96" spans="2:17" x14ac:dyDescent="0.25">
      <c r="C96" s="4"/>
      <c r="D96" s="11" t="s">
        <v>77</v>
      </c>
      <c r="E96" s="11" t="s">
        <v>78</v>
      </c>
      <c r="F96" s="11" t="s">
        <v>79</v>
      </c>
      <c r="G96" s="11" t="s">
        <v>76</v>
      </c>
      <c r="H96" s="7"/>
      <c r="I96" s="11" t="s">
        <v>77</v>
      </c>
      <c r="J96" s="11" t="s">
        <v>78</v>
      </c>
      <c r="K96" s="11" t="s">
        <v>79</v>
      </c>
      <c r="L96" s="61" t="s">
        <v>76</v>
      </c>
    </row>
    <row r="97" spans="2:13" x14ac:dyDescent="0.25">
      <c r="C97" s="60"/>
      <c r="D97" s="88" t="str">
        <f ca="1">'Encryption Calculations'!D174</f>
        <v>11010111</v>
      </c>
      <c r="E97" s="88" t="str">
        <f ca="1">'Encryption Calculations'!E174</f>
        <v>10101011</v>
      </c>
      <c r="F97" s="88" t="str">
        <f ca="1">'Encryption Calculations'!F174</f>
        <v>01110110</v>
      </c>
      <c r="G97" s="88" t="str">
        <f ca="1">'Encryption Calculations'!G174</f>
        <v>11111110</v>
      </c>
      <c r="H97" s="10"/>
      <c r="I97" s="88" t="str">
        <f ca="1">'Encryption Calculations'!N174</f>
        <v>D7</v>
      </c>
      <c r="J97" s="88" t="str">
        <f ca="1">'Encryption Calculations'!O174</f>
        <v>AB</v>
      </c>
      <c r="K97" s="88" t="str">
        <f ca="1">'Encryption Calculations'!P174</f>
        <v>76</v>
      </c>
      <c r="L97" s="88" t="str">
        <f ca="1">'Encryption Calculations'!Q174</f>
        <v>FE</v>
      </c>
    </row>
    <row r="98" spans="2:13" x14ac:dyDescent="0.25">
      <c r="C98" s="268"/>
      <c r="D98" s="268"/>
      <c r="E98" s="265"/>
      <c r="F98" s="268"/>
      <c r="G98" s="268"/>
      <c r="J98" s="3"/>
      <c r="K98" s="3"/>
    </row>
    <row r="99" spans="2:13" ht="18.75" x14ac:dyDescent="0.3">
      <c r="B99" s="31" t="s">
        <v>345</v>
      </c>
      <c r="C99" s="339" t="s">
        <v>277</v>
      </c>
      <c r="D99" s="339"/>
      <c r="E99" s="339"/>
      <c r="F99" s="339"/>
      <c r="G99" s="339"/>
      <c r="H99" s="339"/>
      <c r="I99" s="339"/>
      <c r="J99" s="339"/>
      <c r="K99" s="339"/>
      <c r="L99" s="339"/>
      <c r="M99" s="339"/>
    </row>
    <row r="100" spans="2:13" ht="15.75" thickBot="1" x14ac:dyDescent="0.3">
      <c r="B100" s="355" t="s">
        <v>276</v>
      </c>
      <c r="C100" s="14" t="s">
        <v>264</v>
      </c>
      <c r="D100" s="65">
        <v>1</v>
      </c>
      <c r="E100" s="65">
        <v>2</v>
      </c>
      <c r="F100" s="65">
        <v>3</v>
      </c>
      <c r="G100" s="65">
        <v>4</v>
      </c>
      <c r="H100" s="65">
        <v>5</v>
      </c>
      <c r="I100" s="65">
        <v>6</v>
      </c>
      <c r="J100" s="65">
        <v>7</v>
      </c>
      <c r="K100" s="65">
        <v>8</v>
      </c>
      <c r="L100" s="65">
        <v>9</v>
      </c>
      <c r="M100" s="65">
        <v>10</v>
      </c>
    </row>
    <row r="101" spans="2:13" x14ac:dyDescent="0.25">
      <c r="B101" s="355"/>
      <c r="C101" s="356" t="s">
        <v>263</v>
      </c>
      <c r="D101" s="66" t="s">
        <v>266</v>
      </c>
      <c r="E101" s="66" t="s">
        <v>267</v>
      </c>
      <c r="F101" s="66" t="s">
        <v>268</v>
      </c>
      <c r="G101" s="66" t="s">
        <v>269</v>
      </c>
      <c r="H101" s="68" t="s">
        <v>270</v>
      </c>
      <c r="I101" s="66" t="s">
        <v>271</v>
      </c>
      <c r="J101" s="68" t="s">
        <v>272</v>
      </c>
      <c r="K101" s="66" t="s">
        <v>273</v>
      </c>
      <c r="L101" s="66" t="s">
        <v>274</v>
      </c>
      <c r="M101" s="66" t="s">
        <v>275</v>
      </c>
    </row>
    <row r="102" spans="2:13" x14ac:dyDescent="0.25">
      <c r="B102" s="355"/>
      <c r="C102" s="356"/>
      <c r="D102" s="67" t="s">
        <v>265</v>
      </c>
      <c r="E102" s="67" t="s">
        <v>265</v>
      </c>
      <c r="F102" s="67" t="s">
        <v>265</v>
      </c>
      <c r="G102" s="67" t="s">
        <v>265</v>
      </c>
      <c r="H102" s="69" t="s">
        <v>265</v>
      </c>
      <c r="I102" s="67" t="s">
        <v>265</v>
      </c>
      <c r="J102" s="69" t="s">
        <v>265</v>
      </c>
      <c r="K102" s="67" t="s">
        <v>265</v>
      </c>
      <c r="L102" s="67" t="s">
        <v>265</v>
      </c>
      <c r="M102" s="67" t="s">
        <v>265</v>
      </c>
    </row>
    <row r="103" spans="2:13" x14ac:dyDescent="0.25">
      <c r="B103" s="355"/>
      <c r="C103" s="356"/>
      <c r="D103" s="67" t="s">
        <v>265</v>
      </c>
      <c r="E103" s="67" t="s">
        <v>265</v>
      </c>
      <c r="F103" s="67" t="s">
        <v>265</v>
      </c>
      <c r="G103" s="67" t="s">
        <v>265</v>
      </c>
      <c r="H103" s="69" t="s">
        <v>265</v>
      </c>
      <c r="I103" s="67" t="s">
        <v>265</v>
      </c>
      <c r="J103" s="69" t="s">
        <v>265</v>
      </c>
      <c r="K103" s="67" t="s">
        <v>265</v>
      </c>
      <c r="L103" s="67" t="s">
        <v>265</v>
      </c>
      <c r="M103" s="67" t="s">
        <v>265</v>
      </c>
    </row>
    <row r="104" spans="2:13" x14ac:dyDescent="0.25">
      <c r="B104" s="355"/>
      <c r="C104" s="356"/>
      <c r="D104" s="67" t="s">
        <v>265</v>
      </c>
      <c r="E104" s="67" t="s">
        <v>265</v>
      </c>
      <c r="F104" s="67" t="s">
        <v>265</v>
      </c>
      <c r="G104" s="67" t="s">
        <v>265</v>
      </c>
      <c r="H104" s="69" t="s">
        <v>265</v>
      </c>
      <c r="I104" s="67" t="s">
        <v>265</v>
      </c>
      <c r="J104" s="69" t="s">
        <v>265</v>
      </c>
      <c r="K104" s="67" t="s">
        <v>265</v>
      </c>
      <c r="L104" s="67" t="s">
        <v>265</v>
      </c>
      <c r="M104" s="67" t="s">
        <v>265</v>
      </c>
    </row>
    <row r="105" spans="2:13" ht="18.75" x14ac:dyDescent="0.25">
      <c r="B105" s="269"/>
      <c r="C105" s="271"/>
      <c r="D105" s="74"/>
      <c r="E105" s="74"/>
      <c r="F105" s="74"/>
      <c r="G105" s="74"/>
      <c r="H105" s="74"/>
      <c r="I105" s="74"/>
      <c r="J105" s="74"/>
      <c r="K105" s="74"/>
      <c r="L105" s="74"/>
      <c r="M105" s="74"/>
    </row>
    <row r="106" spans="2:13" x14ac:dyDescent="0.25">
      <c r="B106" s="64"/>
      <c r="C106" s="64"/>
      <c r="D106" s="64"/>
      <c r="E106" s="64"/>
      <c r="F106" s="64"/>
      <c r="G106" s="64"/>
      <c r="H106" s="64"/>
      <c r="I106" s="64"/>
      <c r="J106" s="64"/>
      <c r="K106" s="64"/>
      <c r="L106" s="265"/>
      <c r="M106" s="265"/>
    </row>
    <row r="107" spans="2:13" ht="15.75" thickBot="1" x14ac:dyDescent="0.3">
      <c r="B107" s="32"/>
      <c r="C107" s="73" t="s">
        <v>283</v>
      </c>
      <c r="D107" s="267" t="s">
        <v>290</v>
      </c>
      <c r="E107" s="3"/>
      <c r="F107" s="73" t="s">
        <v>284</v>
      </c>
      <c r="G107" s="267" t="s">
        <v>291</v>
      </c>
      <c r="H107" s="3"/>
      <c r="I107" s="73" t="s">
        <v>285</v>
      </c>
      <c r="J107" s="267" t="s">
        <v>292</v>
      </c>
      <c r="K107" s="3"/>
      <c r="L107" s="73" t="s">
        <v>286</v>
      </c>
      <c r="M107" s="267" t="s">
        <v>293</v>
      </c>
    </row>
    <row r="108" spans="2:13" ht="15.75" thickBot="1" x14ac:dyDescent="0.3">
      <c r="C108" s="274">
        <f ca="1">'Encryption Calculations'!D187</f>
        <v>215</v>
      </c>
      <c r="D108" s="274">
        <f>'Encryption Calculations'!E187</f>
        <v>1</v>
      </c>
      <c r="E108" s="268"/>
      <c r="F108" s="274">
        <f ca="1">'Encryption Calculations'!G187</f>
        <v>171</v>
      </c>
      <c r="G108" s="274">
        <f>'Encryption Calculations'!H187</f>
        <v>0</v>
      </c>
      <c r="H108" s="268"/>
      <c r="I108" s="274">
        <f ca="1">'Encryption Calculations'!J187</f>
        <v>118</v>
      </c>
      <c r="J108" s="274">
        <f>'Encryption Calculations'!K187</f>
        <v>0</v>
      </c>
      <c r="K108" s="268"/>
      <c r="L108" s="274">
        <f ca="1">'Encryption Calculations'!M187</f>
        <v>254</v>
      </c>
      <c r="M108" s="274">
        <f>'Encryption Calculations'!N187</f>
        <v>0</v>
      </c>
    </row>
    <row r="109" spans="2:13" x14ac:dyDescent="0.25">
      <c r="C109" s="268"/>
      <c r="D109" s="268"/>
      <c r="E109" s="265"/>
      <c r="F109" s="3"/>
      <c r="G109" s="268"/>
      <c r="H109" s="265"/>
      <c r="I109" s="268"/>
      <c r="J109" s="268"/>
      <c r="K109" s="265"/>
      <c r="L109" s="268"/>
      <c r="M109" s="268"/>
    </row>
    <row r="110" spans="2:13" ht="15.75" thickBot="1" x14ac:dyDescent="0.3">
      <c r="C110" s="337" t="s">
        <v>283</v>
      </c>
      <c r="D110" s="337"/>
      <c r="E110" s="265"/>
      <c r="F110" s="337" t="s">
        <v>284</v>
      </c>
      <c r="G110" s="337"/>
      <c r="H110" s="265"/>
      <c r="I110" s="337" t="s">
        <v>285</v>
      </c>
      <c r="J110" s="337"/>
      <c r="K110" s="265"/>
      <c r="L110" s="337" t="s">
        <v>286</v>
      </c>
      <c r="M110" s="337"/>
    </row>
    <row r="111" spans="2:13" x14ac:dyDescent="0.25">
      <c r="C111" s="340">
        <f ca="1">_xlfn.BITXOR(C108,D108)</f>
        <v>214</v>
      </c>
      <c r="D111" s="340"/>
      <c r="F111" s="340">
        <f ca="1">_xlfn.BITXOR(F108,G108)</f>
        <v>171</v>
      </c>
      <c r="G111" s="340"/>
      <c r="I111" s="340">
        <f ca="1">_xlfn.BITXOR(I108,J108)</f>
        <v>118</v>
      </c>
      <c r="J111" s="340"/>
      <c r="L111" s="340">
        <f ca="1">_xlfn.BITXOR(L108,M108)</f>
        <v>254</v>
      </c>
      <c r="M111" s="340"/>
    </row>
    <row r="112" spans="2:13" x14ac:dyDescent="0.25">
      <c r="C112" s="265"/>
      <c r="D112" s="265"/>
      <c r="F112" s="265"/>
      <c r="G112" s="265"/>
      <c r="I112" s="265"/>
      <c r="J112" s="265"/>
      <c r="L112" s="265"/>
      <c r="M112" s="265"/>
    </row>
    <row r="113" spans="2:19" ht="26.25" x14ac:dyDescent="0.4">
      <c r="B113" s="120" t="s">
        <v>73</v>
      </c>
    </row>
    <row r="114" spans="2:19" ht="15" customHeight="1" x14ac:dyDescent="0.4">
      <c r="B114" s="30"/>
      <c r="C114" s="63"/>
      <c r="D114" s="63"/>
      <c r="E114" s="63"/>
      <c r="F114" s="63"/>
      <c r="G114" s="63"/>
      <c r="H114" s="63"/>
      <c r="I114" s="63"/>
      <c r="J114" s="63"/>
      <c r="K114" s="63"/>
      <c r="L114" s="63"/>
      <c r="M114" s="63"/>
      <c r="N114" s="63"/>
      <c r="O114" s="63"/>
      <c r="P114" s="63"/>
      <c r="Q114" s="63"/>
      <c r="R114" s="63"/>
    </row>
    <row r="115" spans="2:19" ht="21" x14ac:dyDescent="0.35">
      <c r="C115" s="357" t="s">
        <v>1</v>
      </c>
      <c r="D115" s="357"/>
      <c r="E115" s="357"/>
      <c r="F115" s="357"/>
      <c r="G115" s="357"/>
      <c r="H115" s="357"/>
      <c r="I115" s="357"/>
      <c r="J115" s="357"/>
      <c r="K115" s="357"/>
      <c r="L115" s="357"/>
      <c r="M115" s="357"/>
      <c r="N115" s="357"/>
      <c r="O115" s="357"/>
      <c r="P115" s="357"/>
      <c r="Q115" s="357"/>
      <c r="R115" s="357"/>
    </row>
    <row r="116" spans="2:19" ht="15.75" thickBot="1" x14ac:dyDescent="0.3">
      <c r="B116" s="4"/>
      <c r="C116" s="341" t="s">
        <v>452</v>
      </c>
      <c r="D116" s="342"/>
      <c r="E116" s="342"/>
      <c r="F116" s="343"/>
      <c r="G116" s="344" t="s">
        <v>453</v>
      </c>
      <c r="H116" s="345"/>
      <c r="I116" s="345"/>
      <c r="J116" s="346"/>
      <c r="K116" s="347" t="s">
        <v>454</v>
      </c>
      <c r="L116" s="348"/>
      <c r="M116" s="348"/>
      <c r="N116" s="349"/>
      <c r="O116" s="350" t="s">
        <v>455</v>
      </c>
      <c r="P116" s="351"/>
      <c r="Q116" s="351"/>
      <c r="R116" s="352"/>
    </row>
    <row r="117" spans="2:19" ht="15.75" thickBot="1" x14ac:dyDescent="0.3">
      <c r="C117" s="47" t="s">
        <v>76</v>
      </c>
      <c r="D117" s="47" t="s">
        <v>77</v>
      </c>
      <c r="E117" s="47" t="s">
        <v>78</v>
      </c>
      <c r="F117" s="47" t="s">
        <v>79</v>
      </c>
      <c r="G117" s="48" t="s">
        <v>456</v>
      </c>
      <c r="H117" s="48" t="s">
        <v>457</v>
      </c>
      <c r="I117" s="48" t="s">
        <v>458</v>
      </c>
      <c r="J117" s="48" t="s">
        <v>459</v>
      </c>
      <c r="K117" s="46" t="s">
        <v>460</v>
      </c>
      <c r="L117" s="46" t="s">
        <v>461</v>
      </c>
      <c r="M117" s="46" t="s">
        <v>462</v>
      </c>
      <c r="N117" s="46" t="s">
        <v>463</v>
      </c>
      <c r="O117" s="49" t="s">
        <v>464</v>
      </c>
      <c r="P117" s="49" t="s">
        <v>465</v>
      </c>
      <c r="Q117" s="49" t="s">
        <v>466</v>
      </c>
      <c r="R117" s="49" t="s">
        <v>467</v>
      </c>
    </row>
    <row r="118" spans="2:19" ht="21.75" thickBot="1" x14ac:dyDescent="0.4">
      <c r="C118" s="47" t="s">
        <v>352</v>
      </c>
      <c r="D118" s="47" t="s">
        <v>353</v>
      </c>
      <c r="E118" s="47" t="s">
        <v>354</v>
      </c>
      <c r="F118" s="47" t="s">
        <v>355</v>
      </c>
      <c r="G118" s="48" t="s">
        <v>356</v>
      </c>
      <c r="H118" s="48" t="s">
        <v>357</v>
      </c>
      <c r="I118" s="48" t="s">
        <v>358</v>
      </c>
      <c r="J118" s="48" t="s">
        <v>359</v>
      </c>
      <c r="K118" s="46" t="s">
        <v>360</v>
      </c>
      <c r="L118" s="46" t="s">
        <v>361</v>
      </c>
      <c r="M118" s="46" t="s">
        <v>362</v>
      </c>
      <c r="N118" s="46" t="s">
        <v>363</v>
      </c>
      <c r="O118" s="49" t="s">
        <v>364</v>
      </c>
      <c r="P118" s="49" t="s">
        <v>365</v>
      </c>
      <c r="Q118" s="49" t="s">
        <v>366</v>
      </c>
      <c r="R118" s="49" t="s">
        <v>367</v>
      </c>
      <c r="S118" s="266" t="s">
        <v>42</v>
      </c>
    </row>
    <row r="119" spans="2:19" ht="15.75" thickBot="1" x14ac:dyDescent="0.3">
      <c r="B119" s="42" t="s">
        <v>282</v>
      </c>
      <c r="C119" s="47" t="str">
        <f ca="1">_xlfn.BASE('Encryption Calculations'!C199,2,8)</f>
        <v>11010110</v>
      </c>
      <c r="D119" s="47" t="str">
        <f ca="1">_xlfn.BASE('Encryption Calculations'!D199,2,8)</f>
        <v>10101010</v>
      </c>
      <c r="E119" s="47" t="str">
        <f ca="1">_xlfn.BASE('Encryption Calculations'!E199,2,8)</f>
        <v>01110100</v>
      </c>
      <c r="F119" s="47" t="str">
        <f ca="1">_xlfn.BASE('Encryption Calculations'!F199,2,8)</f>
        <v>11111101</v>
      </c>
      <c r="G119" s="48" t="str">
        <f ca="1">_xlfn.BASE('Encryption Calculations'!G199,2,8)</f>
        <v>11010010</v>
      </c>
      <c r="H119" s="48" t="str">
        <f ca="1">_xlfn.BASE('Encryption Calculations'!H199,2,8)</f>
        <v>10101111</v>
      </c>
      <c r="I119" s="48" t="str">
        <f ca="1">_xlfn.BASE('Encryption Calculations'!I199,2,8)</f>
        <v>01110010</v>
      </c>
      <c r="J119" s="48" t="str">
        <f ca="1">_xlfn.BASE('Encryption Calculations'!J199,2,8)</f>
        <v>11111010</v>
      </c>
      <c r="K119" s="46" t="str">
        <f ca="1">_xlfn.BASE('Encryption Calculations'!K199,2,8)</f>
        <v>11011010</v>
      </c>
      <c r="L119" s="46" t="str">
        <f ca="1">_xlfn.BASE('Encryption Calculations'!L199,2,8)</f>
        <v>10100110</v>
      </c>
      <c r="M119" s="46" t="str">
        <f ca="1">_xlfn.BASE('Encryption Calculations'!M199,2,8)</f>
        <v>01111000</v>
      </c>
      <c r="N119" s="46" t="str">
        <f ca="1">_xlfn.BASE('Encryption Calculations'!N199,2,8)</f>
        <v>11110001</v>
      </c>
      <c r="O119" s="49" t="str">
        <f ca="1">_xlfn.BASE('Encryption Calculations'!O199,2,8)</f>
        <v>11010110</v>
      </c>
      <c r="P119" s="49" t="str">
        <f ca="1">_xlfn.BASE('Encryption Calculations'!P199,2,8)</f>
        <v>10101011</v>
      </c>
      <c r="Q119" s="49" t="str">
        <f ca="1">_xlfn.BASE('Encryption Calculations'!Q199,2,8)</f>
        <v>01110110</v>
      </c>
      <c r="R119" s="49" t="str">
        <f ca="1">_xlfn.BASE('Encryption Calculations'!R199,2,8)</f>
        <v>11111110</v>
      </c>
      <c r="S119" s="265" t="str">
        <f ca="1">_xlfn.CONCAT(C119:R119)</f>
        <v>11010110101010100111010011111101110100101010111101110010111110101101101010100110011110001111000111010110101010110111011011111110</v>
      </c>
    </row>
    <row r="120" spans="2:19" ht="15.75" thickBot="1" x14ac:dyDescent="0.3">
      <c r="B120" s="42" t="s">
        <v>255</v>
      </c>
      <c r="C120" s="47">
        <f ca="1">'Encryption Calculations'!C199</f>
        <v>214</v>
      </c>
      <c r="D120" s="47">
        <f ca="1">'Encryption Calculations'!D199</f>
        <v>170</v>
      </c>
      <c r="E120" s="47">
        <f ca="1">'Encryption Calculations'!E199</f>
        <v>116</v>
      </c>
      <c r="F120" s="47">
        <f ca="1">'Encryption Calculations'!F199</f>
        <v>253</v>
      </c>
      <c r="G120" s="48">
        <f ca="1">'Encryption Calculations'!G199</f>
        <v>210</v>
      </c>
      <c r="H120" s="48">
        <f ca="1">'Encryption Calculations'!H199</f>
        <v>175</v>
      </c>
      <c r="I120" s="48">
        <f ca="1">'Encryption Calculations'!I199</f>
        <v>114</v>
      </c>
      <c r="J120" s="48">
        <f ca="1">'Encryption Calculations'!J199</f>
        <v>250</v>
      </c>
      <c r="K120" s="46">
        <f ca="1">'Encryption Calculations'!K199</f>
        <v>218</v>
      </c>
      <c r="L120" s="46">
        <f ca="1">'Encryption Calculations'!L199</f>
        <v>166</v>
      </c>
      <c r="M120" s="46">
        <f ca="1">'Encryption Calculations'!M199</f>
        <v>120</v>
      </c>
      <c r="N120" s="46">
        <f ca="1">'Encryption Calculations'!N199</f>
        <v>241</v>
      </c>
      <c r="O120" s="49">
        <f ca="1">'Encryption Calculations'!O199</f>
        <v>214</v>
      </c>
      <c r="P120" s="49">
        <f ca="1">'Encryption Calculations'!P199</f>
        <v>171</v>
      </c>
      <c r="Q120" s="49">
        <f ca="1">'Encryption Calculations'!Q199</f>
        <v>118</v>
      </c>
      <c r="R120" s="49">
        <f ca="1">'Encryption Calculations'!R199</f>
        <v>254</v>
      </c>
      <c r="S120" s="265"/>
    </row>
    <row r="121" spans="2:19" ht="15.75" thickBot="1" x14ac:dyDescent="0.3">
      <c r="B121" s="42" t="s">
        <v>90</v>
      </c>
      <c r="C121" s="47" t="str">
        <f ca="1">_xlfn.BASE('Encryption Calculations'!C199,16,2)</f>
        <v>D6</v>
      </c>
      <c r="D121" s="47" t="str">
        <f ca="1">_xlfn.BASE('Encryption Calculations'!D199,16,2)</f>
        <v>AA</v>
      </c>
      <c r="E121" s="47" t="str">
        <f ca="1">_xlfn.BASE('Encryption Calculations'!E199,16,2)</f>
        <v>74</v>
      </c>
      <c r="F121" s="47" t="str">
        <f ca="1">_xlfn.BASE('Encryption Calculations'!F199,16,2)</f>
        <v>FD</v>
      </c>
      <c r="G121" s="48" t="str">
        <f ca="1">_xlfn.BASE('Encryption Calculations'!G199,16,2)</f>
        <v>D2</v>
      </c>
      <c r="H121" s="48" t="str">
        <f ca="1">_xlfn.BASE('Encryption Calculations'!H199,16,2)</f>
        <v>AF</v>
      </c>
      <c r="I121" s="48" t="str">
        <f ca="1">_xlfn.BASE('Encryption Calculations'!I199,16,2)</f>
        <v>72</v>
      </c>
      <c r="J121" s="48" t="str">
        <f ca="1">_xlfn.BASE('Encryption Calculations'!J199,16,2)</f>
        <v>FA</v>
      </c>
      <c r="K121" s="46" t="str">
        <f ca="1">_xlfn.BASE('Encryption Calculations'!K199,16,2)</f>
        <v>DA</v>
      </c>
      <c r="L121" s="46" t="str">
        <f ca="1">_xlfn.BASE('Encryption Calculations'!L199,16,2)</f>
        <v>A6</v>
      </c>
      <c r="M121" s="46" t="str">
        <f ca="1">_xlfn.BASE('Encryption Calculations'!M199,16,2)</f>
        <v>78</v>
      </c>
      <c r="N121" s="46" t="str">
        <f ca="1">_xlfn.BASE('Encryption Calculations'!N199,16,2)</f>
        <v>F1</v>
      </c>
      <c r="O121" s="49" t="str">
        <f ca="1">_xlfn.BASE('Encryption Calculations'!O199,16,2)</f>
        <v>D6</v>
      </c>
      <c r="P121" s="49" t="str">
        <f ca="1">_xlfn.BASE('Encryption Calculations'!P199,16,2)</f>
        <v>AB</v>
      </c>
      <c r="Q121" s="49" t="str">
        <f ca="1">_xlfn.BASE('Encryption Calculations'!Q199,16,2)</f>
        <v>76</v>
      </c>
      <c r="R121" s="49" t="str">
        <f ca="1">_xlfn.BASE('Encryption Calculations'!R199,16,2)</f>
        <v>FE</v>
      </c>
      <c r="S121" s="265" t="str">
        <f ca="1">_xlfn.CONCAT(C121:R121)</f>
        <v>D6AA74FDD2AF72FADAA678F1D6AB76FE</v>
      </c>
    </row>
    <row r="122" spans="2:19" x14ac:dyDescent="0.25">
      <c r="B122" s="265"/>
      <c r="S122" s="265"/>
    </row>
    <row r="124" spans="2:19" ht="26.25" x14ac:dyDescent="0.4">
      <c r="B124" s="120" t="s">
        <v>342</v>
      </c>
    </row>
    <row r="125" spans="2:19" x14ac:dyDescent="0.25">
      <c r="C125" s="75" t="s">
        <v>323</v>
      </c>
      <c r="D125" s="75" t="s">
        <v>324</v>
      </c>
      <c r="E125" s="75" t="s">
        <v>325</v>
      </c>
      <c r="F125" s="75" t="s">
        <v>326</v>
      </c>
      <c r="G125" s="75" t="s">
        <v>327</v>
      </c>
      <c r="H125" s="75" t="s">
        <v>328</v>
      </c>
      <c r="I125" s="75" t="s">
        <v>329</v>
      </c>
      <c r="J125" s="75" t="s">
        <v>330</v>
      </c>
      <c r="K125" s="75" t="s">
        <v>331</v>
      </c>
      <c r="L125" s="75" t="s">
        <v>332</v>
      </c>
      <c r="M125" s="75" t="s">
        <v>333</v>
      </c>
      <c r="N125" s="75" t="s">
        <v>334</v>
      </c>
      <c r="O125" s="75" t="s">
        <v>335</v>
      </c>
      <c r="P125" s="75" t="s">
        <v>336</v>
      </c>
      <c r="Q125" s="75" t="s">
        <v>337</v>
      </c>
      <c r="R125" s="75" t="s">
        <v>338</v>
      </c>
    </row>
    <row r="126" spans="2:19" x14ac:dyDescent="0.25">
      <c r="B126" s="42" t="s">
        <v>282</v>
      </c>
      <c r="C126" s="265" t="str">
        <f ca="1">_xlfn.BASE('Encryption Calculations'!C219,2,8)</f>
        <v>00000110</v>
      </c>
      <c r="D126" s="265" t="str">
        <f ca="1">_xlfn.BASE('Encryption Calculations'!D219,2,8)</f>
        <v>10110000</v>
      </c>
      <c r="E126" s="265" t="str">
        <f ca="1">_xlfn.BASE('Encryption Calculations'!E219,2,8)</f>
        <v>11110000</v>
      </c>
      <c r="F126" s="265" t="str">
        <f ca="1">_xlfn.BASE('Encryption Calculations'!F219,2,8)</f>
        <v>11001001</v>
      </c>
      <c r="G126" s="265" t="str">
        <f ca="1">_xlfn.BASE('Encryption Calculations'!G219,2,8)</f>
        <v>10000110</v>
      </c>
      <c r="H126" s="265" t="str">
        <f ca="1">_xlfn.BASE('Encryption Calculations'!H219,2,8)</f>
        <v>00111111</v>
      </c>
      <c r="I126" s="265" t="str">
        <f ca="1">_xlfn.BASE('Encryption Calculations'!I219,2,8)</f>
        <v>11011111</v>
      </c>
      <c r="J126" s="265" t="str">
        <f ca="1">_xlfn.BASE('Encryption Calculations'!J219,2,8)</f>
        <v>01001010</v>
      </c>
      <c r="K126" s="265" t="str">
        <f ca="1">_xlfn.BASE('Encryption Calculations'!K219,2,8)</f>
        <v>10001110</v>
      </c>
      <c r="L126" s="265" t="str">
        <f ca="1">_xlfn.BASE('Encryption Calculations'!L219,2,8)</f>
        <v>00000110</v>
      </c>
      <c r="M126" s="265" t="str">
        <f ca="1">_xlfn.BASE('Encryption Calculations'!M219,2,8)</f>
        <v>01101000</v>
      </c>
      <c r="N126" s="265" t="str">
        <f ca="1">_xlfn.BASE('Encryption Calculations'!N219,2,8)</f>
        <v>00110111</v>
      </c>
      <c r="O126" s="265" t="str">
        <f ca="1">_xlfn.BASE('Encryption Calculations'!O219,2,8)</f>
        <v>01101111</v>
      </c>
      <c r="P126" s="265" t="str">
        <f ca="1">_xlfn.BASE('Encryption Calculations'!P219,2,8)</f>
        <v>10101111</v>
      </c>
      <c r="Q126" s="265" t="str">
        <f ca="1">_xlfn.BASE('Encryption Calculations'!Q219,2,8)</f>
        <v>10000011</v>
      </c>
      <c r="R126" s="265" t="str">
        <f ca="1">_xlfn.BASE('Encryption Calculations'!R219,2,8)</f>
        <v>00001010</v>
      </c>
    </row>
    <row r="127" spans="2:19" x14ac:dyDescent="0.25">
      <c r="B127" s="42" t="s">
        <v>255</v>
      </c>
      <c r="C127" s="265">
        <f ca="1">'Encryption Calculations'!C219</f>
        <v>6</v>
      </c>
      <c r="D127" s="265">
        <f ca="1">'Encryption Calculations'!D219</f>
        <v>176</v>
      </c>
      <c r="E127" s="265">
        <f ca="1">'Encryption Calculations'!E219</f>
        <v>240</v>
      </c>
      <c r="F127" s="265">
        <f ca="1">'Encryption Calculations'!F219</f>
        <v>201</v>
      </c>
      <c r="G127" s="265">
        <f ca="1">'Encryption Calculations'!G219</f>
        <v>134</v>
      </c>
      <c r="H127" s="265">
        <f ca="1">'Encryption Calculations'!H219</f>
        <v>63</v>
      </c>
      <c r="I127" s="265">
        <f ca="1">'Encryption Calculations'!I219</f>
        <v>223</v>
      </c>
      <c r="J127" s="265">
        <f ca="1">'Encryption Calculations'!J219</f>
        <v>74</v>
      </c>
      <c r="K127" s="265">
        <f ca="1">'Encryption Calculations'!K219</f>
        <v>142</v>
      </c>
      <c r="L127" s="265">
        <f ca="1">'Encryption Calculations'!L219</f>
        <v>6</v>
      </c>
      <c r="M127" s="265">
        <f ca="1">'Encryption Calculations'!M219</f>
        <v>104</v>
      </c>
      <c r="N127" s="265">
        <f ca="1">'Encryption Calculations'!N219</f>
        <v>55</v>
      </c>
      <c r="O127" s="265">
        <f ca="1">'Encryption Calculations'!O219</f>
        <v>111</v>
      </c>
      <c r="P127" s="265">
        <f ca="1">'Encryption Calculations'!P219</f>
        <v>175</v>
      </c>
      <c r="Q127" s="265">
        <f ca="1">'Encryption Calculations'!Q219</f>
        <v>131</v>
      </c>
      <c r="R127" s="265">
        <f ca="1">'Encryption Calculations'!R219</f>
        <v>10</v>
      </c>
    </row>
    <row r="128" spans="2:19" x14ac:dyDescent="0.25">
      <c r="B128" s="106" t="s">
        <v>90</v>
      </c>
      <c r="C128" s="265" t="str">
        <f ca="1">_xlfn.BASE('Encryption Calculations'!C219,16,2)</f>
        <v>06</v>
      </c>
      <c r="D128" s="265" t="str">
        <f ca="1">_xlfn.BASE('Encryption Calculations'!D219,16,2)</f>
        <v>B0</v>
      </c>
      <c r="E128" s="265" t="str">
        <f ca="1">_xlfn.BASE('Encryption Calculations'!E219,16,2)</f>
        <v>F0</v>
      </c>
      <c r="F128" s="265" t="str">
        <f ca="1">_xlfn.BASE('Encryption Calculations'!F219,16,2)</f>
        <v>C9</v>
      </c>
      <c r="G128" s="265" t="str">
        <f ca="1">_xlfn.BASE('Encryption Calculations'!G219,16,2)</f>
        <v>86</v>
      </c>
      <c r="H128" s="265" t="str">
        <f ca="1">_xlfn.BASE('Encryption Calculations'!H219,16,2)</f>
        <v>3F</v>
      </c>
      <c r="I128" s="265" t="str">
        <f ca="1">_xlfn.BASE('Encryption Calculations'!I219,16,2)</f>
        <v>DF</v>
      </c>
      <c r="J128" s="265" t="str">
        <f ca="1">_xlfn.BASE('Encryption Calculations'!J219,16,2)</f>
        <v>4A</v>
      </c>
      <c r="K128" s="265" t="str">
        <f ca="1">_xlfn.BASE('Encryption Calculations'!K219,16,2)</f>
        <v>8E</v>
      </c>
      <c r="L128" s="265" t="str">
        <f ca="1">_xlfn.BASE('Encryption Calculations'!L219,16,2)</f>
        <v>06</v>
      </c>
      <c r="M128" s="265" t="str">
        <f ca="1">_xlfn.BASE('Encryption Calculations'!M219,16,2)</f>
        <v>68</v>
      </c>
      <c r="N128" s="265" t="str">
        <f ca="1">_xlfn.BASE('Encryption Calculations'!N219,16,2)</f>
        <v>37</v>
      </c>
      <c r="O128" s="265" t="str">
        <f ca="1">_xlfn.BASE('Encryption Calculations'!O219,16,2)</f>
        <v>6F</v>
      </c>
      <c r="P128" s="265" t="str">
        <f ca="1">_xlfn.BASE('Encryption Calculations'!P219,16,2)</f>
        <v>AF</v>
      </c>
      <c r="Q128" s="265" t="str">
        <f ca="1">_xlfn.BASE('Encryption Calculations'!Q219,16,2)</f>
        <v>83</v>
      </c>
      <c r="R128" s="265" t="str">
        <f ca="1">_xlfn.BASE('Encryption Calculations'!R219,16,2)</f>
        <v>0A</v>
      </c>
    </row>
    <row r="131" spans="1:18" ht="24" thickBot="1" x14ac:dyDescent="0.4">
      <c r="B131" s="27" t="s">
        <v>296</v>
      </c>
      <c r="C131" s="339" t="s">
        <v>256</v>
      </c>
      <c r="D131" s="339"/>
      <c r="E131" s="339"/>
      <c r="F131" s="339"/>
      <c r="H131" s="339" t="s">
        <v>257</v>
      </c>
      <c r="I131" s="339"/>
      <c r="J131" s="339"/>
      <c r="K131" s="339"/>
      <c r="L131" s="265"/>
      <c r="M131" s="339" t="s">
        <v>258</v>
      </c>
      <c r="N131" s="339"/>
      <c r="O131" s="339"/>
      <c r="P131" s="339"/>
    </row>
    <row r="132" spans="1:18" x14ac:dyDescent="0.25">
      <c r="B132" s="4"/>
      <c r="C132" s="273" t="str" cm="1">
        <f t="array" aca="1" ref="C132:F135" ca="1">'Encryption Calculations'!H212:K215</f>
        <v>00000110</v>
      </c>
      <c r="D132" s="265" t="str">
        <f ca="1"/>
        <v>10000110</v>
      </c>
      <c r="E132" s="265" t="str">
        <f ca="1"/>
        <v>10001110</v>
      </c>
      <c r="F132" s="11" t="str">
        <f ca="1"/>
        <v>01101111</v>
      </c>
      <c r="H132" s="395">
        <f ca="1">'Encryption Calculations'!M212</f>
        <v>6</v>
      </c>
      <c r="I132" s="126">
        <f ca="1">'Encryption Calculations'!N212</f>
        <v>134</v>
      </c>
      <c r="J132" s="126">
        <f ca="1">'Encryption Calculations'!O212</f>
        <v>142</v>
      </c>
      <c r="K132" s="126">
        <f ca="1">'Encryption Calculations'!P212</f>
        <v>111</v>
      </c>
      <c r="L132" s="12"/>
      <c r="M132" s="8" t="str" cm="1">
        <f t="array" aca="1" ref="M132:P135" ca="1">'Encryption Calculations'!R212:U215</f>
        <v>06</v>
      </c>
      <c r="N132" s="265" t="str">
        <f ca="1"/>
        <v>86</v>
      </c>
      <c r="O132" s="265" t="str">
        <f ca="1"/>
        <v>8E</v>
      </c>
      <c r="P132" s="11" t="str">
        <f ca="1"/>
        <v>6F</v>
      </c>
    </row>
    <row r="133" spans="1:18" ht="21" x14ac:dyDescent="0.35">
      <c r="B133" s="4"/>
      <c r="C133" s="265" t="str">
        <f ca="1"/>
        <v>10110000</v>
      </c>
      <c r="D133" s="265" t="str">
        <f ca="1"/>
        <v>00111111</v>
      </c>
      <c r="E133" s="265" t="str">
        <f ca="1"/>
        <v>00000110</v>
      </c>
      <c r="F133" s="88" t="str">
        <f ca="1"/>
        <v>10101111</v>
      </c>
      <c r="G133" s="17" t="s">
        <v>8</v>
      </c>
      <c r="H133" s="126">
        <f ca="1">'Encryption Calculations'!M213</f>
        <v>176</v>
      </c>
      <c r="I133" s="126">
        <f ca="1">'Encryption Calculations'!N213</f>
        <v>63</v>
      </c>
      <c r="J133" s="126">
        <f ca="1">'Encryption Calculations'!O213</f>
        <v>6</v>
      </c>
      <c r="K133" s="126">
        <f ca="1">'Encryption Calculations'!P213</f>
        <v>175</v>
      </c>
      <c r="L133" s="17" t="s">
        <v>8</v>
      </c>
      <c r="M133" s="265" t="str">
        <f ca="1"/>
        <v>B0</v>
      </c>
      <c r="N133" s="265" t="str">
        <f ca="1"/>
        <v>3F</v>
      </c>
      <c r="O133" s="265" t="str">
        <f ca="1"/>
        <v>06</v>
      </c>
      <c r="P133" s="88" t="str">
        <f ca="1"/>
        <v>AF</v>
      </c>
      <c r="Q133" s="20"/>
    </row>
    <row r="134" spans="1:18" x14ac:dyDescent="0.25">
      <c r="B134" s="4"/>
      <c r="C134" s="265" t="str">
        <f ca="1"/>
        <v>11110000</v>
      </c>
      <c r="D134" s="265" t="str">
        <f ca="1"/>
        <v>11011111</v>
      </c>
      <c r="E134" s="265" t="str">
        <f ca="1"/>
        <v>01101000</v>
      </c>
      <c r="F134" s="88" t="str">
        <f ca="1"/>
        <v>10000011</v>
      </c>
      <c r="G134" s="7"/>
      <c r="H134" s="126">
        <f ca="1">'Encryption Calculations'!M214</f>
        <v>240</v>
      </c>
      <c r="I134" s="126">
        <f ca="1">'Encryption Calculations'!N214</f>
        <v>223</v>
      </c>
      <c r="J134" s="126">
        <f ca="1">'Encryption Calculations'!O214</f>
        <v>104</v>
      </c>
      <c r="K134" s="126">
        <f ca="1">'Encryption Calculations'!P214</f>
        <v>131</v>
      </c>
      <c r="L134" s="12"/>
      <c r="M134" s="265" t="str">
        <f ca="1"/>
        <v>F0</v>
      </c>
      <c r="N134" s="265" t="str">
        <f ca="1"/>
        <v>DF</v>
      </c>
      <c r="O134" s="265" t="str">
        <f ca="1"/>
        <v>68</v>
      </c>
      <c r="P134" s="88" t="str">
        <f ca="1"/>
        <v>83</v>
      </c>
    </row>
    <row r="135" spans="1:18" ht="15.75" thickBot="1" x14ac:dyDescent="0.3">
      <c r="B135" s="4"/>
      <c r="C135" s="265" t="str">
        <f ca="1"/>
        <v>11001001</v>
      </c>
      <c r="D135" s="265" t="str">
        <f ca="1"/>
        <v>01001010</v>
      </c>
      <c r="E135" s="265" t="str">
        <f ca="1"/>
        <v>00110111</v>
      </c>
      <c r="F135" s="88" t="str">
        <f ca="1"/>
        <v>00001010</v>
      </c>
      <c r="G135" s="7"/>
      <c r="H135" s="126">
        <f ca="1">'Encryption Calculations'!M215</f>
        <v>201</v>
      </c>
      <c r="I135" s="126">
        <f ca="1">'Encryption Calculations'!N215</f>
        <v>74</v>
      </c>
      <c r="J135" s="126">
        <f ca="1">'Encryption Calculations'!O215</f>
        <v>55</v>
      </c>
      <c r="K135" s="396">
        <f ca="1">'Encryption Calculations'!P215</f>
        <v>10</v>
      </c>
      <c r="L135" s="12"/>
      <c r="M135" s="265" t="str">
        <f ca="1"/>
        <v>C9</v>
      </c>
      <c r="N135" s="265" t="str">
        <f ca="1"/>
        <v>4A</v>
      </c>
      <c r="O135" s="265" t="str">
        <f ca="1"/>
        <v>37</v>
      </c>
      <c r="P135" s="14" t="str">
        <f ca="1"/>
        <v>0A</v>
      </c>
    </row>
    <row r="136" spans="1:18" x14ac:dyDescent="0.25">
      <c r="A136" s="3"/>
      <c r="B136" s="3"/>
      <c r="C136" s="6"/>
      <c r="F136" s="6"/>
      <c r="H136" s="6"/>
      <c r="M136" s="6"/>
    </row>
    <row r="137" spans="1:18" x14ac:dyDescent="0.25">
      <c r="A137" s="3"/>
      <c r="B137" s="3"/>
      <c r="C137" s="75" t="s">
        <v>323</v>
      </c>
      <c r="D137" s="75" t="s">
        <v>324</v>
      </c>
      <c r="E137" s="75" t="s">
        <v>325</v>
      </c>
      <c r="F137" s="75" t="s">
        <v>326</v>
      </c>
      <c r="G137" s="75" t="s">
        <v>327</v>
      </c>
      <c r="H137" s="75" t="s">
        <v>328</v>
      </c>
      <c r="I137" s="75" t="s">
        <v>329</v>
      </c>
      <c r="J137" s="75" t="s">
        <v>330</v>
      </c>
      <c r="K137" s="75" t="s">
        <v>331</v>
      </c>
      <c r="L137" s="75" t="s">
        <v>332</v>
      </c>
      <c r="M137" s="75" t="s">
        <v>333</v>
      </c>
      <c r="N137" s="75" t="s">
        <v>334</v>
      </c>
      <c r="O137" s="75" t="s">
        <v>335</v>
      </c>
      <c r="P137" s="75" t="s">
        <v>336</v>
      </c>
      <c r="Q137" s="75" t="s">
        <v>337</v>
      </c>
      <c r="R137" s="75" t="s">
        <v>338</v>
      </c>
    </row>
    <row r="138" spans="1:18" ht="21" x14ac:dyDescent="0.35">
      <c r="A138" s="3"/>
      <c r="B138" s="276" t="s">
        <v>491</v>
      </c>
      <c r="C138" s="330">
        <f ca="1">C127</f>
        <v>6</v>
      </c>
      <c r="D138" s="330">
        <f ca="1">D127</f>
        <v>176</v>
      </c>
      <c r="E138" s="330">
        <f ca="1">E127</f>
        <v>240</v>
      </c>
      <c r="F138" s="330">
        <f ca="1">F127</f>
        <v>201</v>
      </c>
      <c r="G138" s="330">
        <f ca="1">G127</f>
        <v>134</v>
      </c>
      <c r="H138" s="330">
        <f ca="1">H127</f>
        <v>63</v>
      </c>
      <c r="I138" s="330">
        <f ca="1">I127</f>
        <v>223</v>
      </c>
      <c r="J138" s="330">
        <f ca="1">J127</f>
        <v>74</v>
      </c>
      <c r="K138" s="330">
        <f ca="1">K127</f>
        <v>142</v>
      </c>
      <c r="L138" s="330">
        <f ca="1">L127</f>
        <v>6</v>
      </c>
      <c r="M138" s="330">
        <f ca="1">M127</f>
        <v>104</v>
      </c>
      <c r="N138" s="330">
        <f ca="1">N127</f>
        <v>55</v>
      </c>
      <c r="O138" s="330">
        <f ca="1">O127</f>
        <v>111</v>
      </c>
      <c r="P138" s="330">
        <f ca="1">P127</f>
        <v>175</v>
      </c>
      <c r="Q138" s="330">
        <f ca="1">Q127</f>
        <v>131</v>
      </c>
      <c r="R138" s="330">
        <f ca="1">R127</f>
        <v>10</v>
      </c>
    </row>
    <row r="139" spans="1:18" ht="21" x14ac:dyDescent="0.35">
      <c r="A139" s="3"/>
      <c r="B139" s="276" t="s">
        <v>433</v>
      </c>
      <c r="C139" s="330" t="str">
        <f ca="1">CHAR(C138)</f>
        <v>_x0006_</v>
      </c>
      <c r="D139" s="330" t="str">
        <f ca="1">CHAR(D138)</f>
        <v>°</v>
      </c>
      <c r="E139" s="330" t="str">
        <f ca="1">CHAR(E138)</f>
        <v>ð</v>
      </c>
      <c r="F139" s="330" t="str">
        <f ca="1">CHAR(F138)</f>
        <v>É</v>
      </c>
      <c r="G139" s="330" t="str">
        <f ca="1">CHAR(G138)</f>
        <v>†</v>
      </c>
      <c r="H139" s="330" t="str">
        <f ca="1">CHAR(H138)</f>
        <v>?</v>
      </c>
      <c r="I139" s="330" t="str">
        <f ca="1">CHAR(I138)</f>
        <v>ß</v>
      </c>
      <c r="J139" s="330" t="str">
        <f ca="1">CHAR(J138)</f>
        <v>J</v>
      </c>
      <c r="K139" s="330" t="str">
        <f ca="1">CHAR(K138)</f>
        <v>Ž</v>
      </c>
      <c r="L139" s="330" t="str">
        <f ca="1">CHAR(L138)</f>
        <v>_x0006_</v>
      </c>
      <c r="M139" s="330" t="str">
        <f ca="1">CHAR(M138)</f>
        <v>h</v>
      </c>
      <c r="N139" s="330" t="str">
        <f ca="1">CHAR(N138)</f>
        <v>7</v>
      </c>
      <c r="O139" s="330" t="str">
        <f ca="1">CHAR(O138)</f>
        <v>o</v>
      </c>
      <c r="P139" s="330" t="str">
        <f ca="1">CHAR(P138)</f>
        <v>¯</v>
      </c>
      <c r="Q139" s="330" t="str">
        <f ca="1">CHAR(Q138)</f>
        <v>ƒ</v>
      </c>
      <c r="R139" s="330" t="str">
        <f ca="1">CHAR(R138)</f>
        <v xml:space="preserve">
</v>
      </c>
    </row>
    <row r="142" spans="1:18" ht="28.5" x14ac:dyDescent="0.45">
      <c r="B142" s="102" t="s">
        <v>348</v>
      </c>
      <c r="C142" s="354" t="str">
        <f ca="1">'Encryption Calculations'!$C$223</f>
        <v xml:space="preserve">_x0006_°ðÉ†?ßJŽ_x0006_h7o¯ƒ
</v>
      </c>
      <c r="D142" s="354"/>
    </row>
    <row r="144" spans="1:18" ht="31.5" x14ac:dyDescent="0.5">
      <c r="B144" s="76"/>
    </row>
    <row r="154" spans="3:3" x14ac:dyDescent="0.25">
      <c r="C154" s="3"/>
    </row>
  </sheetData>
  <sheetProtection sheet="1" objects="1" scenarios="1"/>
  <mergeCells count="46">
    <mergeCell ref="H131:K131"/>
    <mergeCell ref="C142:D142"/>
    <mergeCell ref="C16:R16"/>
    <mergeCell ref="C115:R115"/>
    <mergeCell ref="C33:R34"/>
    <mergeCell ref="C111:D111"/>
    <mergeCell ref="F111:G111"/>
    <mergeCell ref="I111:J111"/>
    <mergeCell ref="L111:M111"/>
    <mergeCell ref="C110:D110"/>
    <mergeCell ref="F110:G110"/>
    <mergeCell ref="I110:J110"/>
    <mergeCell ref="L110:M110"/>
    <mergeCell ref="C99:M99"/>
    <mergeCell ref="I90:L90"/>
    <mergeCell ref="M131:P131"/>
    <mergeCell ref="C131:F131"/>
    <mergeCell ref="O116:R116"/>
    <mergeCell ref="K116:N116"/>
    <mergeCell ref="G116:J116"/>
    <mergeCell ref="B100:B104"/>
    <mergeCell ref="C101:C104"/>
    <mergeCell ref="C116:F116"/>
    <mergeCell ref="M57:P57"/>
    <mergeCell ref="H47:K47"/>
    <mergeCell ref="M47:P47"/>
    <mergeCell ref="M80:P80"/>
    <mergeCell ref="D95:G95"/>
    <mergeCell ref="I95:L95"/>
    <mergeCell ref="O74:R74"/>
    <mergeCell ref="C68:C71"/>
    <mergeCell ref="D90:G90"/>
    <mergeCell ref="C3:D3"/>
    <mergeCell ref="H80:K80"/>
    <mergeCell ref="H57:K57"/>
    <mergeCell ref="C17:R17"/>
    <mergeCell ref="C18:F18"/>
    <mergeCell ref="G18:J18"/>
    <mergeCell ref="K18:N18"/>
    <mergeCell ref="O18:R18"/>
    <mergeCell ref="E66:H66"/>
    <mergeCell ref="H39:K39"/>
    <mergeCell ref="M39:P39"/>
    <mergeCell ref="E3:G3"/>
    <mergeCell ref="H3:I3"/>
    <mergeCell ref="J74:M74"/>
  </mergeCells>
  <phoneticPr fontId="2" type="noConversion"/>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08E5E-1554-46F7-B0D5-2F43DD344E74}">
  <sheetPr codeName="Sheet7"/>
  <dimension ref="A1:AI84"/>
  <sheetViews>
    <sheetView zoomScale="50" zoomScaleNormal="50" workbookViewId="0">
      <selection activeCell="D6" sqref="D6"/>
    </sheetView>
  </sheetViews>
  <sheetFormatPr defaultRowHeight="15" x14ac:dyDescent="0.25"/>
  <cols>
    <col min="1" max="1" width="9.140625" style="142"/>
    <col min="2" max="2" width="68.42578125" bestFit="1" customWidth="1"/>
    <col min="3" max="3" width="19.42578125" bestFit="1" customWidth="1"/>
    <col min="4" max="4" width="19.140625" bestFit="1" customWidth="1"/>
    <col min="5" max="5" width="20.140625" bestFit="1" customWidth="1"/>
    <col min="6" max="6" width="19.85546875" bestFit="1" customWidth="1"/>
    <col min="7" max="8" width="19.42578125" bestFit="1" customWidth="1"/>
    <col min="9" max="9" width="20.140625" bestFit="1" customWidth="1"/>
    <col min="10" max="11" width="19.42578125" bestFit="1" customWidth="1"/>
    <col min="12" max="12" width="20.140625" bestFit="1" customWidth="1"/>
    <col min="13" max="13" width="19.42578125" bestFit="1" customWidth="1"/>
    <col min="14" max="14" width="19.140625" bestFit="1" customWidth="1"/>
    <col min="15" max="15" width="20.140625" bestFit="1" customWidth="1"/>
    <col min="16" max="16" width="18.85546875" bestFit="1" customWidth="1"/>
    <col min="17" max="17" width="19.42578125" bestFit="1" customWidth="1"/>
    <col min="18" max="18" width="19.5703125" customWidth="1"/>
    <col min="19" max="19" width="175.7109375" bestFit="1" customWidth="1"/>
    <col min="20" max="23" width="19.5703125" customWidth="1"/>
  </cols>
  <sheetData>
    <row r="1" spans="1:26" s="114" customFormat="1" x14ac:dyDescent="0.25">
      <c r="A1" s="142"/>
    </row>
    <row r="2" spans="1:26" s="114" customFormat="1" x14ac:dyDescent="0.25">
      <c r="A2" s="142"/>
    </row>
    <row r="3" spans="1:26" s="114" customFormat="1" x14ac:dyDescent="0.25">
      <c r="A3" s="142"/>
    </row>
    <row r="4" spans="1:26" s="114" customFormat="1" ht="28.5" x14ac:dyDescent="0.45">
      <c r="A4" s="142"/>
      <c r="B4" s="120" t="s">
        <v>385</v>
      </c>
      <c r="C4" s="354" t="str">
        <f ca="1">'Encryption Calculations'!$C$223</f>
        <v xml:space="preserve">_x0006_°ðÉ†?ßJŽ_x0006_h7o¯ƒ
</v>
      </c>
      <c r="D4" s="354"/>
      <c r="E4" s="353" t="s">
        <v>384</v>
      </c>
      <c r="F4" s="353"/>
      <c r="G4" s="353"/>
      <c r="H4" s="354" t="str">
        <f ca="1">C78</f>
        <v>"Hello World!!!"</v>
      </c>
      <c r="I4" s="354"/>
    </row>
    <row r="5" spans="1:26" s="114" customFormat="1" x14ac:dyDescent="0.25">
      <c r="A5" s="142"/>
    </row>
    <row r="6" spans="1:26" ht="31.5" x14ac:dyDescent="0.5">
      <c r="B6" s="76" t="s">
        <v>295</v>
      </c>
    </row>
    <row r="8" spans="1:26" s="91" customFormat="1" ht="26.25" x14ac:dyDescent="0.4">
      <c r="A8" s="142"/>
      <c r="B8" s="120" t="s">
        <v>341</v>
      </c>
    </row>
    <row r="9" spans="1:26" s="91" customFormat="1" x14ac:dyDescent="0.25">
      <c r="A9" s="142"/>
      <c r="C9" s="75" t="s">
        <v>323</v>
      </c>
      <c r="D9" s="75" t="s">
        <v>324</v>
      </c>
      <c r="E9" s="75" t="s">
        <v>325</v>
      </c>
      <c r="F9" s="75" t="s">
        <v>326</v>
      </c>
      <c r="G9" s="75" t="s">
        <v>327</v>
      </c>
      <c r="H9" s="75" t="s">
        <v>328</v>
      </c>
      <c r="I9" s="75" t="s">
        <v>329</v>
      </c>
      <c r="J9" s="75" t="s">
        <v>330</v>
      </c>
      <c r="K9" s="75" t="s">
        <v>331</v>
      </c>
      <c r="L9" s="75" t="s">
        <v>332</v>
      </c>
      <c r="M9" s="75" t="s">
        <v>333</v>
      </c>
      <c r="N9" s="75" t="s">
        <v>334</v>
      </c>
      <c r="O9" s="75" t="s">
        <v>335</v>
      </c>
      <c r="P9" s="75" t="s">
        <v>336</v>
      </c>
      <c r="Q9" s="75" t="s">
        <v>337</v>
      </c>
      <c r="R9" s="75" t="s">
        <v>338</v>
      </c>
    </row>
    <row r="10" spans="1:26" s="91" customFormat="1" x14ac:dyDescent="0.25">
      <c r="A10" s="142"/>
      <c r="B10" s="42" t="s">
        <v>282</v>
      </c>
      <c r="C10" s="90" t="str">
        <f ca="1">_xlfn.BASE('Decryption Calculations'!C16,2,8)</f>
        <v>11010000</v>
      </c>
      <c r="D10" s="90" t="str">
        <f ca="1">_xlfn.BASE('Decryption Calculations'!D16,2,8)</f>
        <v>00011010</v>
      </c>
      <c r="E10" s="90" t="str">
        <f ca="1">_xlfn.BASE('Decryption Calculations'!E16,2,8)</f>
        <v>10000100</v>
      </c>
      <c r="F10" s="90" t="str">
        <f ca="1">_xlfn.BASE('Decryption Calculations'!F16,2,8)</f>
        <v>00110100</v>
      </c>
      <c r="G10" s="90" t="str">
        <f ca="1">_xlfn.BASE('Decryption Calculations'!G16,2,8)</f>
        <v>01010100</v>
      </c>
      <c r="H10" s="90" t="str">
        <f ca="1">_xlfn.BASE('Decryption Calculations'!H16,2,8)</f>
        <v>10010000</v>
      </c>
      <c r="I10" s="90" t="str">
        <f ca="1">_xlfn.BASE('Decryption Calculations'!I16,2,8)</f>
        <v>10101101</v>
      </c>
      <c r="J10" s="90" t="str">
        <f ca="1">_xlfn.BASE('Decryption Calculations'!J16,2,8)</f>
        <v>10110000</v>
      </c>
      <c r="K10" s="90" t="str">
        <f ca="1">_xlfn.BASE('Decryption Calculations'!K16,2,8)</f>
        <v>01010100</v>
      </c>
      <c r="L10" s="90" t="str">
        <f ca="1">_xlfn.BASE('Decryption Calculations'!L16,2,8)</f>
        <v>10100000</v>
      </c>
      <c r="M10" s="90" t="str">
        <f ca="1">_xlfn.BASE('Decryption Calculations'!M16,2,8)</f>
        <v>00010000</v>
      </c>
      <c r="N10" s="90" t="str">
        <f ca="1">_xlfn.BASE('Decryption Calculations'!N16,2,8)</f>
        <v>11000110</v>
      </c>
      <c r="O10" s="90" t="str">
        <f ca="1">_xlfn.BASE('Decryption Calculations'!O16,2,8)</f>
        <v>10111001</v>
      </c>
      <c r="P10" s="90" t="str">
        <f ca="1">_xlfn.BASE('Decryption Calculations'!P16,2,8)</f>
        <v>00000100</v>
      </c>
      <c r="Q10" s="90" t="str">
        <f ca="1">_xlfn.BASE('Decryption Calculations'!Q16,2,8)</f>
        <v>11110101</v>
      </c>
      <c r="R10" s="90" t="str">
        <f ca="1">_xlfn.BASE('Decryption Calculations'!R16,2,8)</f>
        <v>11110100</v>
      </c>
    </row>
    <row r="11" spans="1:26" s="114" customFormat="1" x14ac:dyDescent="0.25">
      <c r="A11" s="142"/>
      <c r="B11" s="42" t="s">
        <v>255</v>
      </c>
      <c r="C11" s="112">
        <f ca="1">'Decryption Calculations'!C16</f>
        <v>208</v>
      </c>
      <c r="D11" s="112">
        <f ca="1">'Decryption Calculations'!D16</f>
        <v>26</v>
      </c>
      <c r="E11" s="112">
        <f ca="1">'Decryption Calculations'!E16</f>
        <v>132</v>
      </c>
      <c r="F11" s="112">
        <f ca="1">'Decryption Calculations'!F16</f>
        <v>52</v>
      </c>
      <c r="G11" s="112">
        <f ca="1">'Decryption Calculations'!G16</f>
        <v>84</v>
      </c>
      <c r="H11" s="112">
        <f ca="1">'Decryption Calculations'!H16</f>
        <v>144</v>
      </c>
      <c r="I11" s="112">
        <f ca="1">'Decryption Calculations'!I16</f>
        <v>173</v>
      </c>
      <c r="J11" s="112">
        <f ca="1">'Decryption Calculations'!J16</f>
        <v>176</v>
      </c>
      <c r="K11" s="112">
        <f ca="1">'Decryption Calculations'!K16</f>
        <v>84</v>
      </c>
      <c r="L11" s="112">
        <f ca="1">'Decryption Calculations'!L16</f>
        <v>160</v>
      </c>
      <c r="M11" s="112">
        <f ca="1">'Decryption Calculations'!M16</f>
        <v>16</v>
      </c>
      <c r="N11" s="112">
        <f ca="1">'Decryption Calculations'!N16</f>
        <v>198</v>
      </c>
      <c r="O11" s="112">
        <f ca="1">'Decryption Calculations'!O16</f>
        <v>185</v>
      </c>
      <c r="P11" s="112">
        <f ca="1">'Decryption Calculations'!P16</f>
        <v>4</v>
      </c>
      <c r="Q11" s="112">
        <f ca="1">'Decryption Calculations'!Q16</f>
        <v>245</v>
      </c>
      <c r="R11" s="112">
        <f ca="1">'Decryption Calculations'!R16</f>
        <v>244</v>
      </c>
    </row>
    <row r="12" spans="1:26" s="91" customFormat="1" x14ac:dyDescent="0.25">
      <c r="A12" s="142"/>
      <c r="B12" s="106" t="s">
        <v>90</v>
      </c>
      <c r="C12" s="90" t="str">
        <f ca="1">_xlfn.BASE('Decryption Calculations'!C16,16,2)</f>
        <v>D0</v>
      </c>
      <c r="D12" s="90" t="str">
        <f ca="1">_xlfn.BASE('Decryption Calculations'!D16,16,2)</f>
        <v>1A</v>
      </c>
      <c r="E12" s="90" t="str">
        <f ca="1">_xlfn.BASE('Decryption Calculations'!E16,16,2)</f>
        <v>84</v>
      </c>
      <c r="F12" s="90" t="str">
        <f ca="1">_xlfn.BASE('Decryption Calculations'!F16,16,2)</f>
        <v>34</v>
      </c>
      <c r="G12" s="90" t="str">
        <f ca="1">_xlfn.BASE('Decryption Calculations'!G16,16,2)</f>
        <v>54</v>
      </c>
      <c r="H12" s="90" t="str">
        <f ca="1">_xlfn.BASE('Decryption Calculations'!H16,16,2)</f>
        <v>90</v>
      </c>
      <c r="I12" s="90" t="str">
        <f ca="1">_xlfn.BASE('Decryption Calculations'!I16,16,2)</f>
        <v>AD</v>
      </c>
      <c r="J12" s="90" t="str">
        <f ca="1">_xlfn.BASE('Decryption Calculations'!J16,16,2)</f>
        <v>B0</v>
      </c>
      <c r="K12" s="90" t="str">
        <f ca="1">_xlfn.BASE('Decryption Calculations'!K16,16,2)</f>
        <v>54</v>
      </c>
      <c r="L12" s="90" t="str">
        <f ca="1">_xlfn.BASE('Decryption Calculations'!L16,16,2)</f>
        <v>A0</v>
      </c>
      <c r="M12" s="90" t="str">
        <f ca="1">_xlfn.BASE('Decryption Calculations'!M16,16,2)</f>
        <v>10</v>
      </c>
      <c r="N12" s="90" t="str">
        <f ca="1">_xlfn.BASE('Decryption Calculations'!N16,16,2)</f>
        <v>C6</v>
      </c>
      <c r="O12" s="90" t="str">
        <f ca="1">_xlfn.BASE('Decryption Calculations'!O16,16,2)</f>
        <v>B9</v>
      </c>
      <c r="P12" s="90" t="str">
        <f ca="1">_xlfn.BASE('Decryption Calculations'!P16,16,2)</f>
        <v>04</v>
      </c>
      <c r="Q12" s="90" t="str">
        <f ca="1">_xlfn.BASE('Decryption Calculations'!Q16,16,2)</f>
        <v>F5</v>
      </c>
      <c r="R12" s="90" t="str">
        <f ca="1">_xlfn.BASE('Decryption Calculations'!R16,16,2)</f>
        <v>F4</v>
      </c>
    </row>
    <row r="13" spans="1:26" x14ac:dyDescent="0.25">
      <c r="B13" s="91"/>
      <c r="C13" s="91"/>
      <c r="D13" s="91"/>
      <c r="E13" s="91"/>
      <c r="F13" s="91"/>
      <c r="G13" s="91"/>
      <c r="H13" s="91"/>
      <c r="I13" s="91"/>
      <c r="J13" s="91"/>
      <c r="K13" s="91"/>
      <c r="L13" s="91"/>
      <c r="M13" s="91"/>
      <c r="N13" s="91"/>
      <c r="O13" s="91"/>
      <c r="P13" s="91"/>
      <c r="Q13" s="91"/>
      <c r="R13" s="91"/>
      <c r="S13" s="91"/>
      <c r="T13" s="91"/>
      <c r="U13" s="91"/>
      <c r="V13" s="91"/>
      <c r="W13" s="91"/>
      <c r="X13" s="91"/>
      <c r="Y13" s="91"/>
      <c r="Z13" s="91"/>
    </row>
    <row r="14" spans="1:26" ht="15.75" thickBot="1" x14ac:dyDescent="0.3">
      <c r="C14" s="3"/>
      <c r="D14" s="3"/>
      <c r="E14" s="3"/>
      <c r="F14" s="3"/>
      <c r="G14" s="3"/>
      <c r="H14" s="339" t="s">
        <v>256</v>
      </c>
      <c r="I14" s="339"/>
      <c r="J14" s="339"/>
      <c r="K14" s="339"/>
      <c r="L14" s="114"/>
      <c r="M14" s="339" t="s">
        <v>258</v>
      </c>
      <c r="N14" s="339"/>
      <c r="O14" s="339"/>
      <c r="P14" s="339"/>
      <c r="Q14" s="114"/>
      <c r="R14" s="114"/>
      <c r="S14" s="114"/>
      <c r="T14" s="114"/>
      <c r="U14" s="114"/>
      <c r="V14" s="114"/>
      <c r="W14" s="91"/>
      <c r="X14" s="91"/>
      <c r="Y14" s="91"/>
      <c r="Z14" s="91"/>
    </row>
    <row r="15" spans="1:26" x14ac:dyDescent="0.25">
      <c r="B15" s="4"/>
      <c r="C15" s="89" t="s">
        <v>56</v>
      </c>
      <c r="D15" s="87" t="s">
        <v>60</v>
      </c>
      <c r="E15" s="87" t="s">
        <v>64</v>
      </c>
      <c r="F15" s="11" t="s">
        <v>68</v>
      </c>
      <c r="G15" s="4"/>
      <c r="H15" s="8" t="str">
        <f ca="1">'Decryption Calculations'!H19</f>
        <v>11010000</v>
      </c>
      <c r="I15" s="110" t="str">
        <f ca="1">'Decryption Calculations'!I19</f>
        <v>01010100</v>
      </c>
      <c r="J15" s="110" t="str">
        <f ca="1">'Decryption Calculations'!J19</f>
        <v>01010100</v>
      </c>
      <c r="K15" s="11" t="str">
        <f ca="1">'Decryption Calculations'!K19</f>
        <v>10111001</v>
      </c>
      <c r="L15" s="4"/>
      <c r="M15" s="8" t="str">
        <f ca="1">'Decryption Calculations'!R19</f>
        <v>D0</v>
      </c>
      <c r="N15" s="110" t="str">
        <f ca="1">'Decryption Calculations'!S19</f>
        <v>54</v>
      </c>
      <c r="O15" s="110" t="str">
        <f ca="1">'Decryption Calculations'!T19</f>
        <v>54</v>
      </c>
      <c r="P15" s="11" t="str">
        <f ca="1">'Decryption Calculations'!U19</f>
        <v>B9</v>
      </c>
      <c r="Q15" s="114"/>
      <c r="R15" s="114"/>
      <c r="S15" s="114"/>
      <c r="T15" s="114"/>
      <c r="U15" s="114"/>
      <c r="V15" s="114"/>
      <c r="W15" s="91"/>
      <c r="X15" s="91"/>
      <c r="Y15" s="91"/>
      <c r="Z15" s="91"/>
    </row>
    <row r="16" spans="1:26" ht="21" x14ac:dyDescent="0.35">
      <c r="B16" s="4"/>
      <c r="C16" s="87" t="s">
        <v>57</v>
      </c>
      <c r="D16" s="87" t="s">
        <v>61</v>
      </c>
      <c r="E16" s="87" t="s">
        <v>65</v>
      </c>
      <c r="F16" s="88" t="s">
        <v>69</v>
      </c>
      <c r="G16" s="21" t="s">
        <v>8</v>
      </c>
      <c r="H16" s="110" t="str">
        <f ca="1">'Decryption Calculations'!H20</f>
        <v>00011010</v>
      </c>
      <c r="I16" s="110" t="str">
        <f ca="1">'Decryption Calculations'!I20</f>
        <v>10010000</v>
      </c>
      <c r="J16" s="110" t="str">
        <f ca="1">'Decryption Calculations'!J20</f>
        <v>10100000</v>
      </c>
      <c r="K16" s="88" t="str">
        <f ca="1">'Decryption Calculations'!K20</f>
        <v>00000100</v>
      </c>
      <c r="L16" s="22" t="s">
        <v>8</v>
      </c>
      <c r="M16" s="110" t="str">
        <f ca="1">'Decryption Calculations'!R20</f>
        <v>1A</v>
      </c>
      <c r="N16" s="110" t="str">
        <f ca="1">'Decryption Calculations'!S20</f>
        <v>90</v>
      </c>
      <c r="O16" s="110" t="str">
        <f ca="1">'Decryption Calculations'!T20</f>
        <v>A0</v>
      </c>
      <c r="P16" s="88" t="str">
        <f ca="1">'Decryption Calculations'!U20</f>
        <v>04</v>
      </c>
      <c r="Q16" s="36"/>
      <c r="R16" s="114"/>
      <c r="S16" s="114"/>
      <c r="T16" s="114"/>
      <c r="U16" s="114"/>
      <c r="V16" s="114"/>
      <c r="W16" s="91"/>
      <c r="X16" s="91"/>
      <c r="Y16" s="91"/>
      <c r="Z16" s="91"/>
    </row>
    <row r="17" spans="2:35" x14ac:dyDescent="0.25">
      <c r="B17" s="4"/>
      <c r="C17" s="87" t="s">
        <v>58</v>
      </c>
      <c r="D17" s="87" t="s">
        <v>62</v>
      </c>
      <c r="E17" s="87" t="s">
        <v>66</v>
      </c>
      <c r="F17" s="88" t="s">
        <v>70</v>
      </c>
      <c r="G17" s="4"/>
      <c r="H17" s="110" t="str">
        <f ca="1">'Decryption Calculations'!H21</f>
        <v>10000100</v>
      </c>
      <c r="I17" s="110" t="str">
        <f ca="1">'Decryption Calculations'!I21</f>
        <v>10101101</v>
      </c>
      <c r="J17" s="110" t="str">
        <f ca="1">'Decryption Calculations'!J21</f>
        <v>00010000</v>
      </c>
      <c r="K17" s="88" t="str">
        <f ca="1">'Decryption Calculations'!K21</f>
        <v>11110101</v>
      </c>
      <c r="L17" s="4"/>
      <c r="M17" s="110" t="str">
        <f ca="1">'Decryption Calculations'!R21</f>
        <v>84</v>
      </c>
      <c r="N17" s="110" t="str">
        <f ca="1">'Decryption Calculations'!S21</f>
        <v>AD</v>
      </c>
      <c r="O17" s="110" t="str">
        <f ca="1">'Decryption Calculations'!T21</f>
        <v>10</v>
      </c>
      <c r="P17" s="88" t="str">
        <f ca="1">'Decryption Calculations'!U21</f>
        <v>F5</v>
      </c>
      <c r="Q17" s="114"/>
      <c r="R17" s="114"/>
      <c r="S17" s="114"/>
      <c r="T17" s="114"/>
      <c r="U17" s="114"/>
      <c r="V17" s="114"/>
    </row>
    <row r="18" spans="2:35" ht="15.75" thickBot="1" x14ac:dyDescent="0.3">
      <c r="B18" s="4"/>
      <c r="C18" s="16" t="s">
        <v>59</v>
      </c>
      <c r="D18" s="87" t="s">
        <v>63</v>
      </c>
      <c r="E18" s="87" t="s">
        <v>67</v>
      </c>
      <c r="F18" s="14" t="s">
        <v>71</v>
      </c>
      <c r="G18" s="4"/>
      <c r="H18" s="16" t="str">
        <f ca="1">'Decryption Calculations'!H22</f>
        <v>00110100</v>
      </c>
      <c r="I18" s="110" t="str">
        <f ca="1">'Decryption Calculations'!I22</f>
        <v>10110000</v>
      </c>
      <c r="J18" s="110" t="str">
        <f ca="1">'Decryption Calculations'!J22</f>
        <v>11000110</v>
      </c>
      <c r="K18" s="14" t="str">
        <f ca="1">'Decryption Calculations'!K22</f>
        <v>11110100</v>
      </c>
      <c r="L18" s="4"/>
      <c r="M18" s="110" t="str">
        <f ca="1">'Decryption Calculations'!R22</f>
        <v>34</v>
      </c>
      <c r="N18" s="110" t="str">
        <f ca="1">'Decryption Calculations'!S22</f>
        <v>B0</v>
      </c>
      <c r="O18" s="110" t="str">
        <f ca="1">'Decryption Calculations'!T22</f>
        <v>C6</v>
      </c>
      <c r="P18" s="14" t="str">
        <f ca="1">'Decryption Calculations'!U22</f>
        <v>F4</v>
      </c>
      <c r="Q18" s="114"/>
      <c r="R18" s="114"/>
      <c r="S18" s="114"/>
      <c r="T18" s="114"/>
      <c r="U18" s="114"/>
      <c r="V18" s="114"/>
    </row>
    <row r="19" spans="2:35" x14ac:dyDescent="0.25">
      <c r="C19" s="3"/>
      <c r="D19" s="3"/>
      <c r="E19" s="3"/>
      <c r="F19" s="3"/>
      <c r="H19" s="3"/>
      <c r="K19" s="6"/>
      <c r="M19" s="6"/>
      <c r="P19" s="6"/>
      <c r="Q19" s="114"/>
      <c r="R19" s="114"/>
      <c r="S19" s="114"/>
      <c r="T19" s="114"/>
      <c r="U19" s="114"/>
      <c r="V19" s="114"/>
    </row>
    <row r="20" spans="2:35" x14ac:dyDescent="0.25">
      <c r="B20" s="3"/>
      <c r="Q20" s="114"/>
      <c r="R20" s="114"/>
      <c r="S20" s="114"/>
      <c r="T20" s="114"/>
      <c r="U20" s="114"/>
      <c r="V20" s="114"/>
    </row>
    <row r="21" spans="2:35" ht="26.25" x14ac:dyDescent="0.4">
      <c r="B21" s="120" t="s">
        <v>317</v>
      </c>
      <c r="Q21" s="114"/>
      <c r="R21" s="114"/>
      <c r="S21" s="114"/>
      <c r="T21" s="114"/>
      <c r="U21" s="114"/>
      <c r="V21" s="114"/>
    </row>
    <row r="22" spans="2:35" ht="21" x14ac:dyDescent="0.35">
      <c r="C22" s="1"/>
      <c r="D22" s="1"/>
      <c r="E22" s="360" t="s">
        <v>50</v>
      </c>
      <c r="F22" s="360"/>
      <c r="G22" s="360"/>
      <c r="H22" s="360"/>
      <c r="Q22" s="3"/>
    </row>
    <row r="23" spans="2:35" ht="15.75" thickBot="1" x14ac:dyDescent="0.3">
      <c r="C23" s="3"/>
      <c r="D23" s="3"/>
      <c r="E23" s="84">
        <v>0</v>
      </c>
      <c r="F23" s="84">
        <v>1</v>
      </c>
      <c r="G23" s="84">
        <v>2</v>
      </c>
      <c r="H23" s="84">
        <v>3</v>
      </c>
      <c r="Q23" s="3"/>
    </row>
    <row r="24" spans="2:35" x14ac:dyDescent="0.25">
      <c r="B24" s="3"/>
      <c r="C24" s="359" t="s">
        <v>49</v>
      </c>
      <c r="D24" s="83">
        <v>0</v>
      </c>
      <c r="E24" s="8" t="s">
        <v>56</v>
      </c>
      <c r="F24" s="87" t="s">
        <v>60</v>
      </c>
      <c r="G24" s="87" t="s">
        <v>64</v>
      </c>
      <c r="H24" s="11" t="s">
        <v>68</v>
      </c>
      <c r="T24" s="3"/>
      <c r="U24" s="3"/>
    </row>
    <row r="25" spans="2:35" x14ac:dyDescent="0.25">
      <c r="B25" s="3"/>
      <c r="C25" s="359"/>
      <c r="D25" s="83">
        <v>1</v>
      </c>
      <c r="E25" s="87" t="s">
        <v>57</v>
      </c>
      <c r="F25" s="139" t="s">
        <v>61</v>
      </c>
      <c r="G25" s="87" t="s">
        <v>65</v>
      </c>
      <c r="H25" s="88" t="s">
        <v>69</v>
      </c>
      <c r="T25" s="3"/>
      <c r="U25" s="3"/>
    </row>
    <row r="26" spans="2:35" x14ac:dyDescent="0.25">
      <c r="B26" s="3"/>
      <c r="C26" s="359"/>
      <c r="D26" s="83">
        <v>2</v>
      </c>
      <c r="E26" s="87" t="s">
        <v>58</v>
      </c>
      <c r="F26" s="87" t="s">
        <v>62</v>
      </c>
      <c r="G26" s="87" t="s">
        <v>66</v>
      </c>
      <c r="H26" s="88" t="s">
        <v>70</v>
      </c>
      <c r="T26" s="3"/>
      <c r="U26" s="3"/>
    </row>
    <row r="27" spans="2:35" ht="15.75" thickBot="1" x14ac:dyDescent="0.3">
      <c r="B27" s="3"/>
      <c r="C27" s="359"/>
      <c r="D27" s="83">
        <v>3</v>
      </c>
      <c r="E27" s="16" t="s">
        <v>59</v>
      </c>
      <c r="F27" s="87" t="s">
        <v>63</v>
      </c>
      <c r="G27" s="87" t="s">
        <v>67</v>
      </c>
      <c r="H27" s="14" t="s">
        <v>71</v>
      </c>
      <c r="T27" s="3"/>
      <c r="U27" s="3"/>
    </row>
    <row r="28" spans="2:35" x14ac:dyDescent="0.25">
      <c r="B28" s="3"/>
      <c r="C28" s="3"/>
      <c r="D28" s="3"/>
      <c r="E28" s="3"/>
      <c r="F28" s="3"/>
      <c r="S28" s="3"/>
      <c r="T28" s="3"/>
      <c r="U28" s="3"/>
      <c r="AD28" s="3"/>
      <c r="AE28" s="3"/>
      <c r="AF28" s="3"/>
      <c r="AG28" s="3"/>
      <c r="AH28" s="3"/>
    </row>
    <row r="29" spans="2:35" ht="15.75" thickBot="1" x14ac:dyDescent="0.3">
      <c r="F29" s="3"/>
      <c r="G29" s="3"/>
      <c r="O29" s="361"/>
      <c r="P29" s="361"/>
      <c r="Q29" s="361"/>
      <c r="R29" s="361"/>
      <c r="S29" s="114"/>
      <c r="T29" s="361"/>
      <c r="U29" s="361"/>
      <c r="V29" s="361"/>
      <c r="W29" s="361"/>
      <c r="X29" s="87"/>
      <c r="AE29" s="3"/>
      <c r="AF29" s="3"/>
      <c r="AG29" s="3"/>
      <c r="AH29" s="3"/>
      <c r="AI29" s="3"/>
    </row>
    <row r="30" spans="2:35" x14ac:dyDescent="0.25">
      <c r="B30" s="4"/>
      <c r="C30" s="89">
        <v>14</v>
      </c>
      <c r="D30" s="85">
        <v>11</v>
      </c>
      <c r="E30" s="85">
        <v>13</v>
      </c>
      <c r="F30" s="11">
        <v>9</v>
      </c>
      <c r="G30" s="4"/>
      <c r="H30" s="12" t="s">
        <v>51</v>
      </c>
      <c r="I30" s="88"/>
      <c r="J30" s="8" t="s">
        <v>26</v>
      </c>
      <c r="K30" s="87" t="s">
        <v>30</v>
      </c>
      <c r="L30" s="87" t="s">
        <v>34</v>
      </c>
      <c r="M30" s="11" t="s">
        <v>38</v>
      </c>
      <c r="N30" s="114"/>
      <c r="O30" s="114"/>
      <c r="P30" s="114"/>
      <c r="Q30" s="114"/>
      <c r="R30" s="114"/>
      <c r="S30" s="114"/>
      <c r="T30" s="114"/>
      <c r="U30" s="114"/>
      <c r="V30" s="114"/>
      <c r="W30" s="114"/>
      <c r="AE30" s="3"/>
      <c r="AF30" s="87"/>
      <c r="AG30" s="3"/>
      <c r="AH30" s="3"/>
      <c r="AI30" s="3"/>
    </row>
    <row r="31" spans="2:35" ht="21" x14ac:dyDescent="0.35">
      <c r="B31" s="22"/>
      <c r="C31" s="85">
        <v>9</v>
      </c>
      <c r="D31" s="85">
        <v>14</v>
      </c>
      <c r="E31" s="85">
        <v>11</v>
      </c>
      <c r="F31" s="88">
        <v>13</v>
      </c>
      <c r="G31" s="22" t="s">
        <v>25</v>
      </c>
      <c r="H31" s="12" t="s">
        <v>51</v>
      </c>
      <c r="I31" s="44" t="s">
        <v>8</v>
      </c>
      <c r="J31" s="87" t="s">
        <v>31</v>
      </c>
      <c r="K31" s="87" t="s">
        <v>35</v>
      </c>
      <c r="L31" s="87" t="s">
        <v>39</v>
      </c>
      <c r="M31" s="88" t="s">
        <v>27</v>
      </c>
      <c r="N31" s="36"/>
      <c r="O31" s="114"/>
      <c r="P31" s="114"/>
      <c r="Q31" s="114"/>
      <c r="R31" s="114"/>
      <c r="S31" s="36"/>
      <c r="T31" s="114"/>
      <c r="U31" s="114"/>
      <c r="V31" s="114"/>
      <c r="W31" s="114"/>
      <c r="X31" s="87"/>
      <c r="AE31" s="3"/>
      <c r="AF31" s="87"/>
      <c r="AG31" s="99"/>
      <c r="AH31" s="3"/>
      <c r="AI31" s="3"/>
    </row>
    <row r="32" spans="2:35" x14ac:dyDescent="0.25">
      <c r="B32" s="4"/>
      <c r="C32" s="85">
        <v>13</v>
      </c>
      <c r="D32" s="85">
        <v>9</v>
      </c>
      <c r="E32" s="85">
        <v>14</v>
      </c>
      <c r="F32" s="88">
        <v>11</v>
      </c>
      <c r="G32" s="4"/>
      <c r="H32" s="12" t="s">
        <v>51</v>
      </c>
      <c r="I32" s="88"/>
      <c r="J32" s="87" t="s">
        <v>36</v>
      </c>
      <c r="K32" s="87" t="s">
        <v>40</v>
      </c>
      <c r="L32" s="87" t="s">
        <v>28</v>
      </c>
      <c r="M32" s="88" t="s">
        <v>32</v>
      </c>
      <c r="N32" s="114"/>
      <c r="O32" s="114"/>
      <c r="P32" s="114"/>
      <c r="Q32" s="114"/>
      <c r="R32" s="114"/>
      <c r="S32" s="114"/>
      <c r="T32" s="114"/>
      <c r="U32" s="114"/>
      <c r="V32" s="114"/>
      <c r="W32" s="114"/>
      <c r="X32" s="87"/>
      <c r="AE32" s="3"/>
      <c r="AF32" s="87"/>
      <c r="AG32" s="3"/>
      <c r="AH32" s="3"/>
    </row>
    <row r="33" spans="1:33" ht="15.75" thickBot="1" x14ac:dyDescent="0.3">
      <c r="B33" s="4"/>
      <c r="C33" s="16">
        <v>11</v>
      </c>
      <c r="D33" s="85">
        <v>13</v>
      </c>
      <c r="E33" s="85">
        <v>9</v>
      </c>
      <c r="F33" s="88">
        <v>14</v>
      </c>
      <c r="G33" s="4"/>
      <c r="H33" s="12" t="s">
        <v>51</v>
      </c>
      <c r="I33" s="88"/>
      <c r="J33" s="16" t="s">
        <v>41</v>
      </c>
      <c r="K33" s="87" t="s">
        <v>29</v>
      </c>
      <c r="L33" s="87" t="s">
        <v>33</v>
      </c>
      <c r="M33" s="86" t="s">
        <v>37</v>
      </c>
      <c r="N33" s="5"/>
      <c r="O33" s="114"/>
      <c r="P33" s="114"/>
      <c r="Q33" s="114"/>
      <c r="R33" s="114"/>
      <c r="S33" s="114"/>
      <c r="T33" s="114"/>
      <c r="U33" s="114"/>
      <c r="V33" s="114"/>
      <c r="W33" s="114"/>
      <c r="X33" s="87"/>
      <c r="AD33" s="3"/>
      <c r="AE33" s="87"/>
      <c r="AF33" s="3"/>
      <c r="AG33" s="3"/>
    </row>
    <row r="34" spans="1:33" x14ac:dyDescent="0.25">
      <c r="D34" s="3"/>
      <c r="F34" s="6"/>
      <c r="N34" s="87"/>
      <c r="O34" s="114"/>
      <c r="P34" s="114"/>
      <c r="Q34" s="114"/>
      <c r="R34" s="114"/>
      <c r="S34" s="114"/>
      <c r="T34" s="114"/>
      <c r="U34" s="114"/>
      <c r="V34" s="114"/>
      <c r="W34" s="114"/>
      <c r="X34" s="87"/>
    </row>
    <row r="35" spans="1:33" s="114" customFormat="1" x14ac:dyDescent="0.25">
      <c r="A35" s="142"/>
      <c r="D35" s="3"/>
      <c r="F35" s="3"/>
      <c r="N35" s="110"/>
      <c r="O35" s="110"/>
      <c r="P35" s="110"/>
      <c r="Q35" s="110"/>
      <c r="R35" s="112"/>
      <c r="S35" s="110"/>
      <c r="T35" s="110"/>
      <c r="U35" s="110"/>
      <c r="V35" s="110"/>
      <c r="W35" s="110"/>
      <c r="X35" s="110"/>
    </row>
    <row r="36" spans="1:33" s="114" customFormat="1" x14ac:dyDescent="0.25">
      <c r="A36" s="142"/>
      <c r="D36" s="3"/>
      <c r="F36" s="3"/>
      <c r="N36" s="110"/>
      <c r="O36" s="110"/>
      <c r="P36" s="110"/>
      <c r="Q36" s="110"/>
      <c r="R36" s="112"/>
      <c r="S36" s="110"/>
      <c r="T36" s="110"/>
      <c r="U36" s="110"/>
      <c r="V36" s="110"/>
      <c r="W36" s="110"/>
      <c r="X36" s="110"/>
    </row>
    <row r="37" spans="1:33" s="114" customFormat="1" ht="15.75" thickBot="1" x14ac:dyDescent="0.3">
      <c r="A37" s="142"/>
      <c r="H37" s="339" t="s">
        <v>256</v>
      </c>
      <c r="I37" s="339"/>
      <c r="J37" s="339"/>
      <c r="K37" s="339"/>
      <c r="M37" s="339" t="s">
        <v>258</v>
      </c>
      <c r="N37" s="339"/>
      <c r="O37" s="339"/>
      <c r="P37" s="339"/>
      <c r="Q37" s="110"/>
      <c r="R37" s="112"/>
      <c r="S37" s="110"/>
      <c r="T37" s="110"/>
      <c r="U37" s="110"/>
      <c r="V37" s="110"/>
      <c r="W37" s="110"/>
      <c r="X37" s="110"/>
    </row>
    <row r="38" spans="1:33" s="114" customFormat="1" x14ac:dyDescent="0.25">
      <c r="A38" s="142"/>
      <c r="B38" s="88"/>
      <c r="C38" s="8" t="s">
        <v>26</v>
      </c>
      <c r="D38" s="110" t="s">
        <v>30</v>
      </c>
      <c r="E38" s="110" t="s">
        <v>34</v>
      </c>
      <c r="F38" s="11" t="s">
        <v>38</v>
      </c>
      <c r="G38" s="7"/>
      <c r="H38" s="113" t="str">
        <f ca="1">'Decryption Calculations'!H95</f>
        <v>10010011</v>
      </c>
      <c r="I38" s="110" t="str">
        <f ca="1">'Decryption Calculations'!I95</f>
        <v>01000101</v>
      </c>
      <c r="J38" s="110" t="str">
        <f ca="1">'Decryption Calculations'!J95</f>
        <v>10000101</v>
      </c>
      <c r="K38" s="11" t="str">
        <f ca="1">'Decryption Calculations'!K95</f>
        <v>11011000</v>
      </c>
      <c r="L38" s="88"/>
      <c r="M38" s="113" t="str">
        <f ca="1">'Decryption Calculations'!R95</f>
        <v>93</v>
      </c>
      <c r="N38" s="110" t="str">
        <f ca="1">'Decryption Calculations'!S95</f>
        <v>45</v>
      </c>
      <c r="O38" s="110" t="str">
        <f ca="1">'Decryption Calculations'!T95</f>
        <v>85</v>
      </c>
      <c r="P38" s="11" t="str">
        <f ca="1">'Decryption Calculations'!U95</f>
        <v>D8</v>
      </c>
      <c r="R38" s="112"/>
      <c r="S38" s="110"/>
      <c r="T38" s="110"/>
      <c r="U38" s="110"/>
      <c r="V38" s="110"/>
      <c r="W38" s="110"/>
      <c r="X38" s="110"/>
    </row>
    <row r="39" spans="1:33" s="114" customFormat="1" ht="21" x14ac:dyDescent="0.35">
      <c r="A39" s="142"/>
      <c r="B39" s="44"/>
      <c r="C39" s="110" t="s">
        <v>31</v>
      </c>
      <c r="D39" s="110" t="s">
        <v>35</v>
      </c>
      <c r="E39" s="110" t="s">
        <v>39</v>
      </c>
      <c r="F39" s="88" t="s">
        <v>27</v>
      </c>
      <c r="G39" s="17" t="s">
        <v>8</v>
      </c>
      <c r="H39" s="110" t="str">
        <f ca="1">'Decryption Calculations'!H96</f>
        <v>00000010</v>
      </c>
      <c r="I39" s="110" t="str">
        <f ca="1">'Decryption Calculations'!I96</f>
        <v>00100001</v>
      </c>
      <c r="J39" s="110" t="str">
        <f ca="1">'Decryption Calculations'!J96</f>
        <v>01110001</v>
      </c>
      <c r="K39" s="88" t="str">
        <f ca="1">'Decryption Calculations'!K96</f>
        <v>00111011</v>
      </c>
      <c r="L39" s="100" t="s">
        <v>8</v>
      </c>
      <c r="M39" s="110" t="str">
        <f ca="1">'Decryption Calculations'!R96</f>
        <v>02</v>
      </c>
      <c r="N39" s="110" t="str">
        <f ca="1">'Decryption Calculations'!S96</f>
        <v>21</v>
      </c>
      <c r="O39" s="110" t="str">
        <f ca="1">'Decryption Calculations'!T96</f>
        <v>71</v>
      </c>
      <c r="P39" s="88" t="str">
        <f ca="1">'Decryption Calculations'!U96</f>
        <v>3B</v>
      </c>
      <c r="Q39" s="110"/>
      <c r="R39" s="112"/>
      <c r="S39" s="110"/>
      <c r="T39" s="110"/>
      <c r="U39" s="110"/>
      <c r="V39" s="110"/>
      <c r="W39" s="110"/>
      <c r="X39" s="110"/>
    </row>
    <row r="40" spans="1:33" s="114" customFormat="1" x14ac:dyDescent="0.25">
      <c r="A40" s="142"/>
      <c r="B40" s="88"/>
      <c r="C40" s="110" t="s">
        <v>36</v>
      </c>
      <c r="D40" s="110" t="s">
        <v>40</v>
      </c>
      <c r="E40" s="110" t="s">
        <v>28</v>
      </c>
      <c r="F40" s="88" t="s">
        <v>32</v>
      </c>
      <c r="G40" s="7"/>
      <c r="H40" s="110" t="str">
        <f ca="1">'Decryption Calculations'!H97</f>
        <v>00110011</v>
      </c>
      <c r="I40" s="110" t="str">
        <f ca="1">'Decryption Calculations'!I97</f>
        <v>00010101</v>
      </c>
      <c r="J40" s="110" t="str">
        <f ca="1">'Decryption Calculations'!J97</f>
        <v>10000101</v>
      </c>
      <c r="K40" s="88" t="str">
        <f ca="1">'Decryption Calculations'!K97</f>
        <v>11110111</v>
      </c>
      <c r="L40" s="12"/>
      <c r="M40" s="110" t="str">
        <f ca="1">'Decryption Calculations'!R97</f>
        <v>33</v>
      </c>
      <c r="N40" s="110" t="str">
        <f ca="1">'Decryption Calculations'!S97</f>
        <v>15</v>
      </c>
      <c r="O40" s="110" t="str">
        <f ca="1">'Decryption Calculations'!T97</f>
        <v>85</v>
      </c>
      <c r="P40" s="88" t="str">
        <f ca="1">'Decryption Calculations'!U97</f>
        <v>F7</v>
      </c>
      <c r="Q40" s="110"/>
      <c r="R40" s="112"/>
      <c r="S40" s="110"/>
      <c r="T40" s="110"/>
      <c r="U40" s="110"/>
      <c r="V40" s="110"/>
      <c r="W40" s="110"/>
      <c r="X40" s="110"/>
    </row>
    <row r="41" spans="1:33" s="114" customFormat="1" ht="15.75" thickBot="1" x14ac:dyDescent="0.3">
      <c r="A41" s="142"/>
      <c r="B41" s="88"/>
      <c r="C41" s="16" t="s">
        <v>41</v>
      </c>
      <c r="D41" s="110" t="s">
        <v>29</v>
      </c>
      <c r="E41" s="110" t="s">
        <v>33</v>
      </c>
      <c r="F41" s="111" t="s">
        <v>37</v>
      </c>
      <c r="G41" s="7"/>
      <c r="H41" s="16" t="str">
        <f ca="1">'Decryption Calculations'!H98</f>
        <v>11011000</v>
      </c>
      <c r="I41" s="110" t="str">
        <f ca="1">'Decryption Calculations'!I98</f>
        <v>10101000</v>
      </c>
      <c r="J41" s="110" t="str">
        <f ca="1">'Decryption Calculations'!J98</f>
        <v>01010011</v>
      </c>
      <c r="K41" s="14" t="str">
        <f ca="1">'Decryption Calculations'!K98</f>
        <v>10101000</v>
      </c>
      <c r="L41" s="12"/>
      <c r="M41" s="16" t="str">
        <f ca="1">'Decryption Calculations'!R98</f>
        <v>D8</v>
      </c>
      <c r="N41" s="110" t="str">
        <f ca="1">'Decryption Calculations'!S98</f>
        <v>A8</v>
      </c>
      <c r="O41" s="110" t="str">
        <f ca="1">'Decryption Calculations'!T98</f>
        <v>53</v>
      </c>
      <c r="P41" s="88" t="str">
        <f ca="1">'Decryption Calculations'!U98</f>
        <v>A8</v>
      </c>
      <c r="Q41" s="110"/>
      <c r="R41" s="112"/>
      <c r="S41" s="110"/>
      <c r="T41" s="110"/>
      <c r="U41" s="110"/>
      <c r="V41" s="110"/>
      <c r="W41" s="110"/>
      <c r="X41" s="110"/>
    </row>
    <row r="42" spans="1:33" s="114" customFormat="1" x14ac:dyDescent="0.25">
      <c r="A42" s="142"/>
      <c r="G42" s="110"/>
      <c r="H42" s="110"/>
      <c r="I42" s="110"/>
      <c r="J42" s="110"/>
      <c r="K42" s="110"/>
      <c r="L42" s="110"/>
      <c r="M42" s="110"/>
      <c r="N42" s="110"/>
      <c r="O42" s="110"/>
      <c r="P42" s="113"/>
      <c r="Q42" s="110"/>
      <c r="R42" s="112"/>
      <c r="S42" s="110"/>
      <c r="T42" s="110"/>
      <c r="U42" s="110"/>
      <c r="V42" s="110"/>
      <c r="W42" s="110"/>
      <c r="X42" s="110"/>
    </row>
    <row r="43" spans="1:33" x14ac:dyDescent="0.25">
      <c r="O43" s="85"/>
      <c r="P43" s="85"/>
      <c r="Q43" s="85"/>
      <c r="R43" s="85"/>
      <c r="S43" s="85"/>
      <c r="T43" s="87"/>
      <c r="U43" s="87"/>
      <c r="V43" s="87"/>
      <c r="W43" s="87"/>
    </row>
    <row r="44" spans="1:33" ht="26.25" x14ac:dyDescent="0.4">
      <c r="B44" s="120" t="s">
        <v>318</v>
      </c>
      <c r="O44" s="85"/>
      <c r="P44" s="85"/>
      <c r="Q44" s="85"/>
      <c r="R44" s="85"/>
      <c r="S44" s="85"/>
      <c r="T44" s="87"/>
      <c r="U44" s="87"/>
      <c r="V44" s="87"/>
      <c r="W44" s="87"/>
      <c r="X44" s="87"/>
    </row>
    <row r="45" spans="1:33" ht="15.75" thickBot="1" x14ac:dyDescent="0.3">
      <c r="C45" s="2"/>
      <c r="D45" s="3"/>
      <c r="E45" s="3"/>
      <c r="F45" s="2"/>
      <c r="G45" s="3"/>
      <c r="H45" s="339" t="s">
        <v>256</v>
      </c>
      <c r="I45" s="339"/>
      <c r="J45" s="339"/>
      <c r="K45" s="339"/>
      <c r="M45" s="339" t="s">
        <v>258</v>
      </c>
      <c r="N45" s="339"/>
      <c r="O45" s="339"/>
      <c r="P45" s="339"/>
      <c r="Q45" s="87"/>
      <c r="R45" s="87"/>
      <c r="S45" s="87"/>
      <c r="T45" s="87"/>
      <c r="X45" s="87"/>
    </row>
    <row r="46" spans="1:33" x14ac:dyDescent="0.25">
      <c r="B46" s="88" t="s">
        <v>313</v>
      </c>
      <c r="C46" s="89" t="s">
        <v>26</v>
      </c>
      <c r="D46" s="87" t="s">
        <v>30</v>
      </c>
      <c r="E46" s="87" t="s">
        <v>34</v>
      </c>
      <c r="F46" s="11" t="s">
        <v>38</v>
      </c>
      <c r="G46" s="3"/>
      <c r="H46" s="8" t="str">
        <f ca="1">'Decryption Calculations'!H103</f>
        <v>10010011</v>
      </c>
      <c r="I46" s="85" t="str">
        <f ca="1">'Decryption Calculations'!I103</f>
        <v>01000101</v>
      </c>
      <c r="J46" s="85" t="str">
        <f ca="1">'Decryption Calculations'!J103</f>
        <v>10000101</v>
      </c>
      <c r="K46" s="11" t="str">
        <f ca="1">'Decryption Calculations'!K103</f>
        <v>11011000</v>
      </c>
      <c r="L46" s="12"/>
      <c r="M46" s="89" t="str">
        <f ca="1">'Decryption Calculations'!R103</f>
        <v>93</v>
      </c>
      <c r="N46" s="85" t="str">
        <f ca="1">'Decryption Calculations'!S103</f>
        <v>45</v>
      </c>
      <c r="O46" s="85" t="str">
        <f ca="1">'Decryption Calculations'!T103</f>
        <v>85</v>
      </c>
      <c r="P46" s="11" t="str">
        <f ca="1">'Decryption Calculations'!U103</f>
        <v>D8</v>
      </c>
    </row>
    <row r="47" spans="1:33" ht="21" x14ac:dyDescent="0.35">
      <c r="B47" s="88" t="s">
        <v>314</v>
      </c>
      <c r="C47" s="87" t="s">
        <v>27</v>
      </c>
      <c r="D47" s="87" t="s">
        <v>31</v>
      </c>
      <c r="E47" s="87" t="s">
        <v>35</v>
      </c>
      <c r="F47" s="88" t="s">
        <v>39</v>
      </c>
      <c r="G47" s="19" t="s">
        <v>8</v>
      </c>
      <c r="H47" s="85" t="str">
        <f ca="1">'Decryption Calculations'!H104</f>
        <v>00000010</v>
      </c>
      <c r="I47" s="85" t="str">
        <f ca="1">'Decryption Calculations'!I104</f>
        <v>00100001</v>
      </c>
      <c r="J47" s="85" t="str">
        <f ca="1">'Decryption Calculations'!J104</f>
        <v>01110001</v>
      </c>
      <c r="K47" s="88" t="str">
        <f ca="1">'Decryption Calculations'!K104</f>
        <v>00111011</v>
      </c>
      <c r="L47" s="17" t="s">
        <v>8</v>
      </c>
      <c r="M47" s="85" t="str">
        <f ca="1">'Decryption Calculations'!R104</f>
        <v>3B</v>
      </c>
      <c r="N47" s="85" t="str">
        <f ca="1">'Decryption Calculations'!S104</f>
        <v>02</v>
      </c>
      <c r="O47" s="85" t="str">
        <f ca="1">'Decryption Calculations'!T104</f>
        <v>21</v>
      </c>
      <c r="P47" s="88" t="str">
        <f ca="1">'Decryption Calculations'!U104</f>
        <v>71</v>
      </c>
    </row>
    <row r="48" spans="1:33" x14ac:dyDescent="0.25">
      <c r="B48" s="88" t="s">
        <v>315</v>
      </c>
      <c r="C48" s="87" t="s">
        <v>28</v>
      </c>
      <c r="D48" s="87" t="s">
        <v>32</v>
      </c>
      <c r="E48" s="87" t="s">
        <v>36</v>
      </c>
      <c r="F48" s="88" t="s">
        <v>40</v>
      </c>
      <c r="G48" s="7"/>
      <c r="H48" s="85" t="str">
        <f ca="1">'Decryption Calculations'!H105</f>
        <v>00110011</v>
      </c>
      <c r="I48" s="85" t="str">
        <f ca="1">'Decryption Calculations'!I105</f>
        <v>00010101</v>
      </c>
      <c r="J48" s="85" t="str">
        <f ca="1">'Decryption Calculations'!J105</f>
        <v>10000101</v>
      </c>
      <c r="K48" s="88" t="str">
        <f ca="1">'Decryption Calculations'!K105</f>
        <v>11110111</v>
      </c>
      <c r="L48" s="12"/>
      <c r="M48" s="85" t="str">
        <f ca="1">'Decryption Calculations'!R105</f>
        <v>85</v>
      </c>
      <c r="N48" s="85" t="str">
        <f ca="1">'Decryption Calculations'!S105</f>
        <v>F7</v>
      </c>
      <c r="O48" s="85" t="str">
        <f ca="1">'Decryption Calculations'!T105</f>
        <v>33</v>
      </c>
      <c r="P48" s="88" t="str">
        <f ca="1">'Decryption Calculations'!U105</f>
        <v>15</v>
      </c>
    </row>
    <row r="49" spans="2:19" ht="15.75" thickBot="1" x14ac:dyDescent="0.3">
      <c r="B49" s="88" t="s">
        <v>316</v>
      </c>
      <c r="C49" s="16" t="s">
        <v>29</v>
      </c>
      <c r="D49" s="87" t="s">
        <v>33</v>
      </c>
      <c r="E49" s="87" t="s">
        <v>37</v>
      </c>
      <c r="F49" s="14" t="s">
        <v>41</v>
      </c>
      <c r="G49" s="4"/>
      <c r="H49" s="16" t="str">
        <f ca="1">'Decryption Calculations'!H106</f>
        <v>11011000</v>
      </c>
      <c r="I49" s="85" t="str">
        <f ca="1">'Decryption Calculations'!I106</f>
        <v>10101000</v>
      </c>
      <c r="J49" s="85" t="str">
        <f ca="1">'Decryption Calculations'!J106</f>
        <v>01010011</v>
      </c>
      <c r="K49" s="88" t="str">
        <f ca="1">'Decryption Calculations'!K106</f>
        <v>10101000</v>
      </c>
      <c r="L49" s="12"/>
      <c r="M49" s="16" t="str">
        <f ca="1">'Decryption Calculations'!R106</f>
        <v>A8</v>
      </c>
      <c r="N49" s="85" t="str">
        <f ca="1">'Decryption Calculations'!S106</f>
        <v>53</v>
      </c>
      <c r="O49" s="85" t="str">
        <f ca="1">'Decryption Calculations'!T106</f>
        <v>A8</v>
      </c>
      <c r="P49" s="14" t="str">
        <f ca="1">'Decryption Calculations'!U106</f>
        <v>D8</v>
      </c>
    </row>
    <row r="50" spans="2:19" x14ac:dyDescent="0.25">
      <c r="C50" s="6"/>
      <c r="D50" s="3"/>
      <c r="E50" s="3"/>
      <c r="F50" s="3"/>
      <c r="G50" s="3"/>
      <c r="K50" s="6"/>
    </row>
    <row r="52" spans="2:19" ht="26.25" x14ac:dyDescent="0.4">
      <c r="B52" s="120" t="s">
        <v>319</v>
      </c>
    </row>
    <row r="53" spans="2:19" s="331" customFormat="1" ht="15.75" thickBot="1" x14ac:dyDescent="0.3">
      <c r="E53" s="3"/>
      <c r="F53" s="3"/>
      <c r="H53" s="339" t="s">
        <v>256</v>
      </c>
      <c r="I53" s="339"/>
      <c r="J53" s="339"/>
      <c r="K53" s="339"/>
      <c r="M53" s="339" t="s">
        <v>258</v>
      </c>
      <c r="N53" s="339"/>
      <c r="O53" s="339"/>
      <c r="P53" s="339"/>
    </row>
    <row r="54" spans="2:19" x14ac:dyDescent="0.25">
      <c r="B54" s="4"/>
      <c r="C54" s="89" t="s">
        <v>26</v>
      </c>
      <c r="D54" s="85" t="s">
        <v>30</v>
      </c>
      <c r="E54" s="85" t="s">
        <v>34</v>
      </c>
      <c r="F54" s="11" t="s">
        <v>38</v>
      </c>
      <c r="G54" s="88"/>
      <c r="H54" s="89" t="str">
        <f ca="1">'Decryption Calculations'!H144</f>
        <v>00100010</v>
      </c>
      <c r="I54" s="85" t="str">
        <f ca="1">'Decryption Calculations'!I144</f>
        <v>01101000</v>
      </c>
      <c r="J54" s="85" t="str">
        <f ca="1">'Decryption Calculations'!J144</f>
        <v>01100111</v>
      </c>
      <c r="K54" s="11" t="str">
        <f ca="1">'Decryption Calculations'!K144</f>
        <v>00101101</v>
      </c>
      <c r="L54" s="12"/>
      <c r="M54" s="89" t="str">
        <f ca="1">'Decryption Calculations'!R144</f>
        <v>22</v>
      </c>
      <c r="N54" s="85" t="str">
        <f ca="1">'Decryption Calculations'!S144</f>
        <v>68</v>
      </c>
      <c r="O54" s="85" t="str">
        <f ca="1">'Decryption Calculations'!T144</f>
        <v>67</v>
      </c>
      <c r="P54" s="11" t="str">
        <f ca="1">'Decryption Calculations'!U144</f>
        <v>2D</v>
      </c>
    </row>
    <row r="55" spans="2:19" ht="21" x14ac:dyDescent="0.35">
      <c r="B55" s="4"/>
      <c r="C55" s="85" t="s">
        <v>27</v>
      </c>
      <c r="D55" s="85" t="s">
        <v>31</v>
      </c>
      <c r="E55" s="85" t="s">
        <v>35</v>
      </c>
      <c r="F55" s="88" t="s">
        <v>39</v>
      </c>
      <c r="G55" s="22" t="s">
        <v>8</v>
      </c>
      <c r="H55" s="85" t="str">
        <f ca="1">'Decryption Calculations'!H145</f>
        <v>01001001</v>
      </c>
      <c r="I55" s="85" t="str">
        <f ca="1">'Decryption Calculations'!I145</f>
        <v>01101010</v>
      </c>
      <c r="J55" s="85" t="str">
        <f ca="1">'Decryption Calculations'!J145</f>
        <v>01111011</v>
      </c>
      <c r="K55" s="88" t="str">
        <f ca="1">'Decryption Calculations'!K145</f>
        <v>00101100</v>
      </c>
      <c r="L55" s="18" t="s">
        <v>8</v>
      </c>
      <c r="M55" s="85" t="str">
        <f ca="1">'Decryption Calculations'!R145</f>
        <v>49</v>
      </c>
      <c r="N55" s="85" t="str">
        <f ca="1">'Decryption Calculations'!S145</f>
        <v>6A</v>
      </c>
      <c r="O55" s="85" t="str">
        <f ca="1">'Decryption Calculations'!T145</f>
        <v>7B</v>
      </c>
      <c r="P55" s="88" t="str">
        <f ca="1">'Decryption Calculations'!U145</f>
        <v>2C</v>
      </c>
    </row>
    <row r="56" spans="2:19" x14ac:dyDescent="0.25">
      <c r="B56" s="4"/>
      <c r="C56" s="85" t="s">
        <v>28</v>
      </c>
      <c r="D56" s="85" t="s">
        <v>32</v>
      </c>
      <c r="E56" s="85" t="s">
        <v>36</v>
      </c>
      <c r="F56" s="88" t="s">
        <v>40</v>
      </c>
      <c r="G56" s="88"/>
      <c r="H56" s="85" t="str">
        <f ca="1">'Decryption Calculations'!H146</f>
        <v>01100111</v>
      </c>
      <c r="I56" s="85" t="str">
        <f ca="1">'Decryption Calculations'!I146</f>
        <v>00100110</v>
      </c>
      <c r="J56" s="85" t="str">
        <f ca="1">'Decryption Calculations'!J146</f>
        <v>01100110</v>
      </c>
      <c r="K56" s="88" t="str">
        <f ca="1">'Decryption Calculations'!K146</f>
        <v>00101111</v>
      </c>
      <c r="L56" s="12"/>
      <c r="M56" s="85" t="str">
        <f ca="1">'Decryption Calculations'!R146</f>
        <v>67</v>
      </c>
      <c r="N56" s="85" t="str">
        <f ca="1">'Decryption Calculations'!S146</f>
        <v>26</v>
      </c>
      <c r="O56" s="85" t="str">
        <f ca="1">'Decryption Calculations'!T146</f>
        <v>66</v>
      </c>
      <c r="P56" s="88" t="str">
        <f ca="1">'Decryption Calculations'!U146</f>
        <v>2F</v>
      </c>
    </row>
    <row r="57" spans="2:19" ht="15.75" thickBot="1" x14ac:dyDescent="0.3">
      <c r="B57" s="4"/>
      <c r="C57" s="16" t="s">
        <v>29</v>
      </c>
      <c r="D57" s="85" t="s">
        <v>33</v>
      </c>
      <c r="E57" s="85" t="s">
        <v>37</v>
      </c>
      <c r="F57" s="14" t="s">
        <v>41</v>
      </c>
      <c r="G57" s="88"/>
      <c r="H57" s="85" t="str">
        <f ca="1">'Decryption Calculations'!H147</f>
        <v>01101111</v>
      </c>
      <c r="I57" s="85" t="str">
        <f ca="1">'Decryption Calculations'!I147</f>
        <v>01010000</v>
      </c>
      <c r="J57" s="85" t="str">
        <f ca="1">'Decryption Calculations'!J147</f>
        <v>01101111</v>
      </c>
      <c r="K57" s="88" t="str">
        <f ca="1">'Decryption Calculations'!K147</f>
        <v>00101101</v>
      </c>
      <c r="L57" s="12"/>
      <c r="M57" s="16" t="str">
        <f ca="1">'Decryption Calculations'!R147</f>
        <v>6F</v>
      </c>
      <c r="N57" s="85" t="str">
        <f ca="1">'Decryption Calculations'!S147</f>
        <v>50</v>
      </c>
      <c r="O57" s="85" t="str">
        <f ca="1">'Decryption Calculations'!T147</f>
        <v>6F</v>
      </c>
      <c r="P57" s="88" t="str">
        <f ca="1">'Decryption Calculations'!U147</f>
        <v>2D</v>
      </c>
    </row>
    <row r="58" spans="2:19" x14ac:dyDescent="0.25">
      <c r="G58" s="3"/>
      <c r="H58" s="6"/>
      <c r="K58" s="6"/>
      <c r="P58" s="6"/>
    </row>
    <row r="59" spans="2:19" ht="26.25" x14ac:dyDescent="0.4">
      <c r="B59" s="120" t="s">
        <v>0</v>
      </c>
      <c r="C59" s="101"/>
      <c r="D59" s="101"/>
      <c r="E59" s="101"/>
      <c r="F59" s="101"/>
      <c r="G59" s="101"/>
      <c r="H59" s="101"/>
      <c r="I59" s="101"/>
      <c r="J59" s="101"/>
      <c r="K59" s="101"/>
      <c r="L59" s="101"/>
      <c r="M59" s="101"/>
      <c r="N59" s="101"/>
      <c r="O59" s="101"/>
      <c r="P59" s="101"/>
      <c r="Q59" s="101"/>
      <c r="R59" s="101"/>
    </row>
    <row r="60" spans="2:19" ht="21" x14ac:dyDescent="0.35">
      <c r="C60" s="357" t="s">
        <v>1</v>
      </c>
      <c r="D60" s="357"/>
      <c r="E60" s="357"/>
      <c r="F60" s="357"/>
      <c r="G60" s="357"/>
      <c r="H60" s="357"/>
      <c r="I60" s="357"/>
      <c r="J60" s="357"/>
      <c r="K60" s="357"/>
      <c r="L60" s="357"/>
      <c r="M60" s="357"/>
      <c r="N60" s="357"/>
      <c r="O60" s="357"/>
      <c r="P60" s="357"/>
      <c r="Q60" s="357"/>
      <c r="R60" s="357"/>
    </row>
    <row r="61" spans="2:19" ht="15.75" thickBot="1" x14ac:dyDescent="0.3">
      <c r="B61" s="4"/>
      <c r="C61" s="341" t="s">
        <v>247</v>
      </c>
      <c r="D61" s="342"/>
      <c r="E61" s="342"/>
      <c r="F61" s="343"/>
      <c r="G61" s="344" t="s">
        <v>248</v>
      </c>
      <c r="H61" s="345"/>
      <c r="I61" s="345"/>
      <c r="J61" s="346"/>
      <c r="K61" s="347" t="s">
        <v>249</v>
      </c>
      <c r="L61" s="348"/>
      <c r="M61" s="348"/>
      <c r="N61" s="349"/>
      <c r="O61" s="350" t="s">
        <v>250</v>
      </c>
      <c r="P61" s="351"/>
      <c r="Q61" s="351"/>
      <c r="R61" s="352"/>
      <c r="S61" s="137" t="s">
        <v>42</v>
      </c>
    </row>
    <row r="62" spans="2:19" ht="15.75" thickBot="1" x14ac:dyDescent="0.3">
      <c r="C62" s="47" t="s">
        <v>413</v>
      </c>
      <c r="D62" s="47" t="s">
        <v>410</v>
      </c>
      <c r="E62" s="47" t="s">
        <v>411</v>
      </c>
      <c r="F62" s="47" t="s">
        <v>412</v>
      </c>
      <c r="G62" s="48" t="s">
        <v>418</v>
      </c>
      <c r="H62" s="48" t="s">
        <v>419</v>
      </c>
      <c r="I62" s="48" t="s">
        <v>420</v>
      </c>
      <c r="J62" s="48" t="s">
        <v>421</v>
      </c>
      <c r="K62" s="46" t="s">
        <v>414</v>
      </c>
      <c r="L62" s="46" t="s">
        <v>415</v>
      </c>
      <c r="M62" s="46" t="s">
        <v>416</v>
      </c>
      <c r="N62" s="46" t="s">
        <v>417</v>
      </c>
      <c r="O62" s="49" t="s">
        <v>422</v>
      </c>
      <c r="P62" s="49" t="s">
        <v>423</v>
      </c>
      <c r="Q62" s="49" t="s">
        <v>424</v>
      </c>
      <c r="R62" s="49" t="s">
        <v>425</v>
      </c>
      <c r="S62" s="137"/>
    </row>
    <row r="63" spans="2:19" s="142" customFormat="1" ht="15.75" thickBot="1" x14ac:dyDescent="0.3">
      <c r="B63" s="42" t="s">
        <v>282</v>
      </c>
      <c r="C63" s="47" t="str">
        <f ca="1">_xlfn.BASE(C64,2,8)</f>
        <v>00000000</v>
      </c>
      <c r="D63" s="47" t="str">
        <f ca="1">_xlfn.BASE(D64,2,8)</f>
        <v>00000001</v>
      </c>
      <c r="E63" s="47" t="str">
        <f ca="1">_xlfn.BASE(E64,2,8)</f>
        <v>00000010</v>
      </c>
      <c r="F63" s="47" t="str">
        <f ca="1">_xlfn.BASE(F64,2,8)</f>
        <v>00000011</v>
      </c>
      <c r="G63" s="48" t="str">
        <f ca="1">_xlfn.BASE(G64,2,8)</f>
        <v>00000100</v>
      </c>
      <c r="H63" s="48" t="str">
        <f ca="1">_xlfn.BASE(H64,2,8)</f>
        <v>00000101</v>
      </c>
      <c r="I63" s="48" t="str">
        <f ca="1">_xlfn.BASE(I64,2,8)</f>
        <v>00000110</v>
      </c>
      <c r="J63" s="48" t="str">
        <f ca="1">_xlfn.BASE(J64,2,8)</f>
        <v>00000111</v>
      </c>
      <c r="K63" s="46" t="str">
        <f ca="1">_xlfn.BASE(K64,2,8)</f>
        <v>00001000</v>
      </c>
      <c r="L63" s="46" t="str">
        <f ca="1">_xlfn.BASE(L64,2,8)</f>
        <v>00001001</v>
      </c>
      <c r="M63" s="46" t="str">
        <f ca="1">_xlfn.BASE(M64,2,8)</f>
        <v>00001010</v>
      </c>
      <c r="N63" s="46" t="str">
        <f ca="1">_xlfn.BASE(N64,2,8)</f>
        <v>00001011</v>
      </c>
      <c r="O63" s="49" t="str">
        <f ca="1">_xlfn.BASE(O64,2,8)</f>
        <v>00001100</v>
      </c>
      <c r="P63" s="49" t="str">
        <f ca="1">_xlfn.BASE(P64,2,8)</f>
        <v>00001101</v>
      </c>
      <c r="Q63" s="49" t="str">
        <f ca="1">_xlfn.BASE(Q64,2,8)</f>
        <v>00001110</v>
      </c>
      <c r="R63" s="49" t="str">
        <f ca="1">_xlfn.BASE(R64,2,8)</f>
        <v>00001111</v>
      </c>
      <c r="S63" s="137" t="str">
        <f ca="1">_xlfn.CONCAT(C63:R63)</f>
        <v>00000000000000010000001000000011000001000000010100000110000001110000100000001001000010100000101100001100000011010000111000001111</v>
      </c>
    </row>
    <row r="64" spans="2:19" s="142" customFormat="1" ht="15.75" thickBot="1" x14ac:dyDescent="0.3">
      <c r="B64" s="42" t="s">
        <v>344</v>
      </c>
      <c r="C64" s="52">
        <f ca="1">'Decryption Calculations'!C172</f>
        <v>0</v>
      </c>
      <c r="D64" s="52">
        <f ca="1">'Decryption Calculations'!D172</f>
        <v>1</v>
      </c>
      <c r="E64" s="97">
        <f ca="1">'Decryption Calculations'!E172</f>
        <v>2</v>
      </c>
      <c r="F64" s="52">
        <f ca="1">'Decryption Calculations'!F172</f>
        <v>3</v>
      </c>
      <c r="G64" s="96">
        <f ca="1">'Decryption Calculations'!G172</f>
        <v>4</v>
      </c>
      <c r="H64" s="96">
        <f ca="1">'Decryption Calculations'!H172</f>
        <v>5</v>
      </c>
      <c r="I64" s="96">
        <f ca="1">'Decryption Calculations'!I172</f>
        <v>6</v>
      </c>
      <c r="J64" s="96">
        <f ca="1">'Decryption Calculations'!J172</f>
        <v>7</v>
      </c>
      <c r="K64" s="54">
        <f ca="1">'Encryption Calculations'!K155</f>
        <v>8</v>
      </c>
      <c r="L64" s="54">
        <f ca="1">'Encryption Calculations'!L155</f>
        <v>9</v>
      </c>
      <c r="M64" s="54">
        <f ca="1">'Encryption Calculations'!M155</f>
        <v>10</v>
      </c>
      <c r="N64" s="54">
        <f ca="1">'Encryption Calculations'!N155</f>
        <v>11</v>
      </c>
      <c r="O64" s="45">
        <f ca="1">'Decryption Calculations'!O172</f>
        <v>12</v>
      </c>
      <c r="P64" s="56">
        <f ca="1">'Decryption Calculations'!P172</f>
        <v>13</v>
      </c>
      <c r="Q64" s="45">
        <f ca="1">'Decryption Calculations'!Q172</f>
        <v>14</v>
      </c>
      <c r="R64" s="55">
        <f ca="1">'Decryption Calculations'!R172</f>
        <v>15</v>
      </c>
      <c r="S64" s="9" t="str">
        <f ca="1">_xlfn.CONCAT(C64:R64)</f>
        <v>0123456789101112131415</v>
      </c>
    </row>
    <row r="65" spans="1:19" s="142" customFormat="1" ht="15.75" thickBot="1" x14ac:dyDescent="0.3">
      <c r="B65" s="42" t="s">
        <v>90</v>
      </c>
      <c r="C65" s="47" t="str">
        <f ca="1">_xlfn.BASE(C64,16,2)</f>
        <v>00</v>
      </c>
      <c r="D65" s="47" t="str">
        <f ca="1">_xlfn.BASE(D64,16,2)</f>
        <v>01</v>
      </c>
      <c r="E65" s="47" t="str">
        <f ca="1">_xlfn.BASE(E64,16,2)</f>
        <v>02</v>
      </c>
      <c r="F65" s="47" t="str">
        <f ca="1">_xlfn.BASE(F64,16,2)</f>
        <v>03</v>
      </c>
      <c r="G65" s="48" t="str">
        <f ca="1">_xlfn.BASE(G64,16,2)</f>
        <v>04</v>
      </c>
      <c r="H65" s="48" t="str">
        <f ca="1">_xlfn.BASE(H64,16,2)</f>
        <v>05</v>
      </c>
      <c r="I65" s="48" t="str">
        <f ca="1">_xlfn.BASE(I64,16,2)</f>
        <v>06</v>
      </c>
      <c r="J65" s="48" t="str">
        <f ca="1">_xlfn.BASE(J64,16,2)</f>
        <v>07</v>
      </c>
      <c r="K65" s="46" t="str">
        <f ca="1">_xlfn.BASE(K64,16,2)</f>
        <v>08</v>
      </c>
      <c r="L65" s="46" t="str">
        <f ca="1">_xlfn.BASE(L64,16,2)</f>
        <v>09</v>
      </c>
      <c r="M65" s="46" t="str">
        <f ca="1">_xlfn.BASE(M64,16,2)</f>
        <v>0A</v>
      </c>
      <c r="N65" s="46" t="str">
        <f ca="1">_xlfn.BASE(N64,16,2)</f>
        <v>0B</v>
      </c>
      <c r="O65" s="49" t="str">
        <f ca="1">_xlfn.BASE(O64,16,2)</f>
        <v>0C</v>
      </c>
      <c r="P65" s="49" t="str">
        <f ca="1">_xlfn.BASE(P64,16,2)</f>
        <v>0D</v>
      </c>
      <c r="Q65" s="49" t="str">
        <f ca="1">_xlfn.BASE(Q64,16,2)</f>
        <v>0E</v>
      </c>
      <c r="R65" s="49" t="str">
        <f ca="1">_xlfn.BASE(R64,16,2)</f>
        <v>0F</v>
      </c>
      <c r="S65" s="137" t="str">
        <f ca="1">_xlfn.CONCAT(C65:R65)</f>
        <v>000102030405060708090A0B0C0D0E0F</v>
      </c>
    </row>
    <row r="66" spans="1:19" x14ac:dyDescent="0.25">
      <c r="B66" s="142"/>
      <c r="C66" s="23"/>
      <c r="D66" s="84"/>
      <c r="E66" s="23"/>
      <c r="F66" s="23"/>
      <c r="G66" s="23"/>
      <c r="H66" s="23"/>
      <c r="I66" s="23"/>
      <c r="J66" s="23"/>
      <c r="K66" s="23"/>
      <c r="L66" s="23"/>
      <c r="M66" s="23"/>
      <c r="N66" s="23"/>
      <c r="O66" s="23"/>
      <c r="P66" s="23"/>
      <c r="Q66" s="23"/>
      <c r="R66" s="23"/>
    </row>
    <row r="67" spans="1:19" ht="26.25" x14ac:dyDescent="0.4">
      <c r="B67" s="120" t="s">
        <v>431</v>
      </c>
      <c r="C67" s="85"/>
      <c r="D67" s="85"/>
      <c r="E67" s="85"/>
      <c r="F67" s="85"/>
      <c r="G67" s="85"/>
      <c r="H67" s="85"/>
      <c r="I67" s="85"/>
      <c r="J67" s="85"/>
      <c r="K67" s="85"/>
      <c r="L67" s="85"/>
      <c r="M67" s="85"/>
      <c r="N67" s="85"/>
      <c r="O67" s="85"/>
      <c r="P67" s="85"/>
      <c r="Q67" s="85"/>
      <c r="R67" s="85"/>
    </row>
    <row r="68" spans="1:19" x14ac:dyDescent="0.25">
      <c r="C68" s="75" t="s">
        <v>9</v>
      </c>
      <c r="D68" s="75" t="s">
        <v>10</v>
      </c>
      <c r="E68" s="75" t="s">
        <v>11</v>
      </c>
      <c r="F68" s="75" t="s">
        <v>12</v>
      </c>
      <c r="G68" s="75" t="s">
        <v>24</v>
      </c>
      <c r="H68" s="75" t="s">
        <v>13</v>
      </c>
      <c r="I68" s="75" t="s">
        <v>14</v>
      </c>
      <c r="J68" s="75" t="s">
        <v>15</v>
      </c>
      <c r="K68" s="75" t="s">
        <v>16</v>
      </c>
      <c r="L68" s="75" t="s">
        <v>17</v>
      </c>
      <c r="M68" s="75" t="s">
        <v>19</v>
      </c>
      <c r="N68" s="75" t="s">
        <v>20</v>
      </c>
      <c r="O68" s="75" t="s">
        <v>21</v>
      </c>
      <c r="P68" s="75" t="s">
        <v>18</v>
      </c>
      <c r="Q68" s="75" t="s">
        <v>22</v>
      </c>
      <c r="R68" s="75" t="s">
        <v>23</v>
      </c>
    </row>
    <row r="69" spans="1:19" x14ac:dyDescent="0.25">
      <c r="B69" s="394" t="s">
        <v>486</v>
      </c>
      <c r="C69" s="112" t="str">
        <f ca="1">_xlfn.BASE('Decryption Calculations'!C174,2,8)</f>
        <v>00100010</v>
      </c>
      <c r="D69" s="112" t="str">
        <f ca="1">_xlfn.BASE('Decryption Calculations'!D174,2,8)</f>
        <v>01001000</v>
      </c>
      <c r="E69" s="112" t="str">
        <f ca="1">_xlfn.BASE('Decryption Calculations'!E174,2,8)</f>
        <v>01100101</v>
      </c>
      <c r="F69" s="112" t="str">
        <f ca="1">_xlfn.BASE('Decryption Calculations'!F174,2,8)</f>
        <v>01101100</v>
      </c>
      <c r="G69" s="112" t="str">
        <f ca="1">_xlfn.BASE('Decryption Calculations'!G174,2,8)</f>
        <v>01101100</v>
      </c>
      <c r="H69" s="112" t="str">
        <f ca="1">_xlfn.BASE('Decryption Calculations'!H174,2,8)</f>
        <v>01101111</v>
      </c>
      <c r="I69" s="112" t="str">
        <f ca="1">_xlfn.BASE('Decryption Calculations'!I174,2,8)</f>
        <v>00100000</v>
      </c>
      <c r="J69" s="112" t="str">
        <f ca="1">_xlfn.BASE('Decryption Calculations'!J174,2,8)</f>
        <v>01010111</v>
      </c>
      <c r="K69" s="112" t="str">
        <f ca="1">_xlfn.BASE('Decryption Calculations'!K174,2,8)</f>
        <v>01101111</v>
      </c>
      <c r="L69" s="112" t="str">
        <f ca="1">_xlfn.BASE('Decryption Calculations'!L174,2,8)</f>
        <v>01110010</v>
      </c>
      <c r="M69" s="112" t="str">
        <f ca="1">_xlfn.BASE('Decryption Calculations'!M174,2,8)</f>
        <v>01101100</v>
      </c>
      <c r="N69" s="112" t="str">
        <f ca="1">_xlfn.BASE('Decryption Calculations'!N174,2,8)</f>
        <v>01100100</v>
      </c>
      <c r="O69" s="112" t="str">
        <f ca="1">_xlfn.BASE('Decryption Calculations'!O174,2,8)</f>
        <v>00100001</v>
      </c>
      <c r="P69" s="112" t="str">
        <f ca="1">_xlfn.BASE('Decryption Calculations'!P174,2,8)</f>
        <v>00100001</v>
      </c>
      <c r="Q69" s="112" t="str">
        <f ca="1">_xlfn.BASE('Decryption Calculations'!Q174,2,8)</f>
        <v>00100001</v>
      </c>
      <c r="R69" s="112" t="str">
        <f ca="1">_xlfn.BASE('Decryption Calculations'!R174,2,8)</f>
        <v>00100010</v>
      </c>
    </row>
    <row r="70" spans="1:19" s="114" customFormat="1" x14ac:dyDescent="0.25">
      <c r="A70" s="142"/>
      <c r="B70" s="394" t="s">
        <v>487</v>
      </c>
      <c r="C70" s="112">
        <f ca="1">'Decryption Calculations'!C174</f>
        <v>34</v>
      </c>
      <c r="D70" s="112">
        <f ca="1">'Decryption Calculations'!D174</f>
        <v>72</v>
      </c>
      <c r="E70" s="112">
        <f ca="1">'Decryption Calculations'!E174</f>
        <v>101</v>
      </c>
      <c r="F70" s="112">
        <f ca="1">'Decryption Calculations'!F174</f>
        <v>108</v>
      </c>
      <c r="G70" s="112">
        <f ca="1">'Decryption Calculations'!G174</f>
        <v>108</v>
      </c>
      <c r="H70" s="112">
        <f ca="1">'Decryption Calculations'!H174</f>
        <v>111</v>
      </c>
      <c r="I70" s="112">
        <f ca="1">'Decryption Calculations'!I174</f>
        <v>32</v>
      </c>
      <c r="J70" s="112">
        <f ca="1">'Decryption Calculations'!J174</f>
        <v>87</v>
      </c>
      <c r="K70" s="112">
        <f ca="1">'Decryption Calculations'!K174</f>
        <v>111</v>
      </c>
      <c r="L70" s="112">
        <f ca="1">'Decryption Calculations'!L174</f>
        <v>114</v>
      </c>
      <c r="M70" s="112">
        <f ca="1">'Decryption Calculations'!M174</f>
        <v>108</v>
      </c>
      <c r="N70" s="112">
        <f ca="1">'Decryption Calculations'!N174</f>
        <v>100</v>
      </c>
      <c r="O70" s="112">
        <f ca="1">'Decryption Calculations'!O174</f>
        <v>33</v>
      </c>
      <c r="P70" s="112">
        <f ca="1">'Decryption Calculations'!P174</f>
        <v>33</v>
      </c>
      <c r="Q70" s="112">
        <f ca="1">'Decryption Calculations'!Q174</f>
        <v>33</v>
      </c>
      <c r="R70" s="112">
        <f ca="1">'Decryption Calculations'!R174</f>
        <v>34</v>
      </c>
    </row>
    <row r="71" spans="1:19" x14ac:dyDescent="0.25">
      <c r="B71" s="394" t="s">
        <v>488</v>
      </c>
      <c r="C71" s="112" t="str">
        <f ca="1">_xlfn.BASE('Decryption Calculations'!C174,16,2)</f>
        <v>22</v>
      </c>
      <c r="D71" s="112" t="str">
        <f ca="1">_xlfn.BASE('Decryption Calculations'!D174,16,2)</f>
        <v>48</v>
      </c>
      <c r="E71" s="112" t="str">
        <f ca="1">_xlfn.BASE('Decryption Calculations'!E174,16,2)</f>
        <v>65</v>
      </c>
      <c r="F71" s="112" t="str">
        <f ca="1">_xlfn.BASE('Decryption Calculations'!F174,16,2)</f>
        <v>6C</v>
      </c>
      <c r="G71" s="112" t="str">
        <f ca="1">_xlfn.BASE('Decryption Calculations'!G174,16,2)</f>
        <v>6C</v>
      </c>
      <c r="H71" s="112" t="str">
        <f ca="1">_xlfn.BASE('Decryption Calculations'!H174,16,2)</f>
        <v>6F</v>
      </c>
      <c r="I71" s="112" t="str">
        <f ca="1">_xlfn.BASE('Decryption Calculations'!I174,16,2)</f>
        <v>20</v>
      </c>
      <c r="J71" s="112" t="str">
        <f ca="1">_xlfn.BASE('Decryption Calculations'!J174,16,2)</f>
        <v>57</v>
      </c>
      <c r="K71" s="112" t="str">
        <f ca="1">_xlfn.BASE('Decryption Calculations'!K174,16,2)</f>
        <v>6F</v>
      </c>
      <c r="L71" s="112" t="str">
        <f ca="1">_xlfn.BASE('Decryption Calculations'!L174,16,2)</f>
        <v>72</v>
      </c>
      <c r="M71" s="112" t="str">
        <f ca="1">_xlfn.BASE('Decryption Calculations'!M174,16,2)</f>
        <v>6C</v>
      </c>
      <c r="N71" s="112" t="str">
        <f ca="1">_xlfn.BASE('Decryption Calculations'!N174,16,2)</f>
        <v>64</v>
      </c>
      <c r="O71" s="112" t="str">
        <f ca="1">_xlfn.BASE('Decryption Calculations'!O174,16,2)</f>
        <v>21</v>
      </c>
      <c r="P71" s="112" t="str">
        <f ca="1">_xlfn.BASE('Decryption Calculations'!P174,16,2)</f>
        <v>21</v>
      </c>
      <c r="Q71" s="112" t="str">
        <f ca="1">_xlfn.BASE('Decryption Calculations'!Q174,16,2)</f>
        <v>21</v>
      </c>
      <c r="R71" s="112" t="str">
        <f ca="1">_xlfn.BASE('Decryption Calculations'!R174,16,2)</f>
        <v>22</v>
      </c>
    </row>
    <row r="72" spans="1:19" s="114" customFormat="1" x14ac:dyDescent="0.25">
      <c r="A72" s="142"/>
      <c r="B72" s="42"/>
      <c r="C72" s="112"/>
      <c r="D72" s="112"/>
      <c r="E72" s="112"/>
      <c r="F72" s="112"/>
      <c r="G72" s="112"/>
      <c r="H72" s="112"/>
      <c r="I72" s="112"/>
      <c r="J72" s="112"/>
      <c r="K72" s="112"/>
      <c r="L72" s="112"/>
      <c r="M72" s="112"/>
      <c r="N72" s="112"/>
      <c r="O72" s="112"/>
      <c r="P72" s="112"/>
      <c r="Q72" s="112"/>
      <c r="R72" s="112"/>
    </row>
    <row r="73" spans="1:19" ht="21" x14ac:dyDescent="0.35">
      <c r="B73" s="39" t="s">
        <v>6</v>
      </c>
      <c r="C73" s="85">
        <v>1</v>
      </c>
      <c r="D73" s="85">
        <v>2</v>
      </c>
      <c r="E73" s="85">
        <v>3</v>
      </c>
      <c r="F73" s="85">
        <v>4</v>
      </c>
      <c r="G73" s="85">
        <v>5</v>
      </c>
      <c r="H73" s="85">
        <v>6</v>
      </c>
      <c r="I73" s="85">
        <v>7</v>
      </c>
      <c r="J73" s="85">
        <v>8</v>
      </c>
      <c r="K73" s="85">
        <v>9</v>
      </c>
      <c r="L73" s="85">
        <v>10</v>
      </c>
      <c r="M73" s="85">
        <v>11</v>
      </c>
      <c r="N73" s="85">
        <v>12</v>
      </c>
      <c r="O73" s="85">
        <v>13</v>
      </c>
      <c r="P73" s="85">
        <v>14</v>
      </c>
      <c r="Q73" s="85">
        <v>15</v>
      </c>
      <c r="R73" s="85">
        <v>16</v>
      </c>
    </row>
    <row r="74" spans="1:19" ht="21" x14ac:dyDescent="0.35">
      <c r="B74" s="332" t="s">
        <v>490</v>
      </c>
      <c r="C74" s="85">
        <f ca="1">'Decryption Calculations'!C179</f>
        <v>34</v>
      </c>
      <c r="D74" s="112">
        <f ca="1">'Decryption Calculations'!D179</f>
        <v>72</v>
      </c>
      <c r="E74" s="112">
        <f ca="1">'Decryption Calculations'!E179</f>
        <v>101</v>
      </c>
      <c r="F74" s="112">
        <f ca="1">'Decryption Calculations'!F179</f>
        <v>108</v>
      </c>
      <c r="G74" s="112">
        <f ca="1">'Decryption Calculations'!G179</f>
        <v>108</v>
      </c>
      <c r="H74" s="112">
        <f ca="1">'Decryption Calculations'!H179</f>
        <v>111</v>
      </c>
      <c r="I74" s="112">
        <f ca="1">'Decryption Calculations'!I179</f>
        <v>32</v>
      </c>
      <c r="J74" s="112">
        <f ca="1">'Decryption Calculations'!J179</f>
        <v>87</v>
      </c>
      <c r="K74" s="112">
        <f ca="1">'Decryption Calculations'!K179</f>
        <v>111</v>
      </c>
      <c r="L74" s="112">
        <f ca="1">'Decryption Calculations'!L179</f>
        <v>114</v>
      </c>
      <c r="M74" s="112">
        <f ca="1">'Decryption Calculations'!M179</f>
        <v>108</v>
      </c>
      <c r="N74" s="112">
        <f ca="1">'Decryption Calculations'!N179</f>
        <v>100</v>
      </c>
      <c r="O74" s="112">
        <f ca="1">'Decryption Calculations'!O179</f>
        <v>33</v>
      </c>
      <c r="P74" s="112">
        <f ca="1">'Decryption Calculations'!P179</f>
        <v>33</v>
      </c>
      <c r="Q74" s="112">
        <f ca="1">'Decryption Calculations'!Q179</f>
        <v>33</v>
      </c>
      <c r="R74" s="112">
        <f ca="1">'Decryption Calculations'!R179</f>
        <v>34</v>
      </c>
    </row>
    <row r="76" spans="1:19" ht="21" x14ac:dyDescent="0.35">
      <c r="B76" s="39" t="s">
        <v>5</v>
      </c>
      <c r="C76" s="85" t="str">
        <f ca="1">CHAR(C74)</f>
        <v>"</v>
      </c>
      <c r="D76" s="85" t="str">
        <f ca="1">CHAR(D74)</f>
        <v>H</v>
      </c>
      <c r="E76" s="85" t="str">
        <f ca="1">CHAR(E74)</f>
        <v>e</v>
      </c>
      <c r="F76" s="85" t="str">
        <f ca="1">CHAR(F74)</f>
        <v>l</v>
      </c>
      <c r="G76" s="85" t="str">
        <f ca="1">CHAR(G74)</f>
        <v>l</v>
      </c>
      <c r="H76" s="85" t="str">
        <f ca="1">CHAR(H74)</f>
        <v>o</v>
      </c>
      <c r="I76" s="85" t="str">
        <f ca="1">CHAR(I74)</f>
        <v xml:space="preserve"> </v>
      </c>
      <c r="J76" s="85" t="str">
        <f ca="1">CHAR(J74)</f>
        <v>W</v>
      </c>
      <c r="K76" s="85" t="str">
        <f ca="1">CHAR(K74)</f>
        <v>o</v>
      </c>
      <c r="L76" s="85" t="str">
        <f ca="1">CHAR(L74)</f>
        <v>r</v>
      </c>
      <c r="M76" s="85" t="str">
        <f ca="1">CHAR(M74)</f>
        <v>l</v>
      </c>
      <c r="N76" s="85" t="str">
        <f ca="1">CHAR(N74)</f>
        <v>d</v>
      </c>
      <c r="O76" s="85" t="str">
        <f ca="1">CHAR(O74)</f>
        <v>!</v>
      </c>
      <c r="P76" s="85" t="str">
        <f ca="1">CHAR(P74)</f>
        <v>!</v>
      </c>
      <c r="Q76" s="85" t="str">
        <f ca="1">CHAR(Q74)</f>
        <v>!</v>
      </c>
      <c r="R76" s="85" t="str">
        <f ca="1">CHAR(R74)</f>
        <v>"</v>
      </c>
    </row>
    <row r="78" spans="1:19" ht="21" x14ac:dyDescent="0.35">
      <c r="B78" s="98" t="s">
        <v>320</v>
      </c>
      <c r="C78" s="357" t="str">
        <f ca="1">_xlfn.CONCAT(C76:R76)</f>
        <v>"Hello World!!!"</v>
      </c>
      <c r="D78" s="357"/>
      <c r="E78" s="357"/>
    </row>
    <row r="84" spans="12:28" x14ac:dyDescent="0.25">
      <c r="L84" s="142"/>
      <c r="M84" s="142"/>
      <c r="N84" s="142"/>
      <c r="O84" s="142"/>
      <c r="P84" s="142"/>
      <c r="Q84" s="142"/>
      <c r="R84" s="142"/>
      <c r="S84" s="142"/>
      <c r="T84" s="142"/>
      <c r="U84" s="142"/>
      <c r="V84" s="142"/>
      <c r="W84" s="142"/>
      <c r="X84" s="142"/>
      <c r="Y84" s="142"/>
      <c r="Z84" s="142"/>
      <c r="AA84" s="142"/>
      <c r="AB84" s="142"/>
    </row>
  </sheetData>
  <sheetProtection sheet="1" objects="1" scenarios="1"/>
  <mergeCells count="21">
    <mergeCell ref="C24:C27"/>
    <mergeCell ref="E22:H22"/>
    <mergeCell ref="O29:R29"/>
    <mergeCell ref="T29:W29"/>
    <mergeCell ref="H53:K53"/>
    <mergeCell ref="M53:P53"/>
    <mergeCell ref="H37:K37"/>
    <mergeCell ref="M37:P37"/>
    <mergeCell ref="C78:E78"/>
    <mergeCell ref="H45:K45"/>
    <mergeCell ref="M45:P45"/>
    <mergeCell ref="C60:R60"/>
    <mergeCell ref="C61:F61"/>
    <mergeCell ref="G61:J61"/>
    <mergeCell ref="K61:N61"/>
    <mergeCell ref="O61:R61"/>
    <mergeCell ref="H14:K14"/>
    <mergeCell ref="M14:P14"/>
    <mergeCell ref="H4:I4"/>
    <mergeCell ref="C4:D4"/>
    <mergeCell ref="E4:G4"/>
  </mergeCell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FAF89-DBF8-4926-987F-A39C1282EE85}">
  <sheetPr codeName="Sheet2"/>
  <dimension ref="A1:BM228"/>
  <sheetViews>
    <sheetView zoomScale="50" zoomScaleNormal="50" workbookViewId="0">
      <selection activeCell="B43" sqref="B43"/>
    </sheetView>
  </sheetViews>
  <sheetFormatPr defaultRowHeight="15" x14ac:dyDescent="0.25"/>
  <cols>
    <col min="1" max="1" width="14.7109375" bestFit="1" customWidth="1"/>
    <col min="2" max="2" width="81.5703125" bestFit="1" customWidth="1"/>
    <col min="3" max="41" width="20" customWidth="1"/>
  </cols>
  <sheetData>
    <row r="1" spans="1:35" s="142" customFormat="1" ht="15.75" thickBot="1" x14ac:dyDescent="0.3">
      <c r="T1" s="3"/>
    </row>
    <row r="2" spans="1:35" ht="32.25" thickTop="1" x14ac:dyDescent="0.5">
      <c r="B2" s="306" t="s">
        <v>4</v>
      </c>
      <c r="C2" s="367" t="str">
        <f>Encyrption!C3</f>
        <v>"Hello World!!!"</v>
      </c>
      <c r="D2" s="367"/>
      <c r="E2" s="368" t="s">
        <v>340</v>
      </c>
      <c r="F2" s="368"/>
      <c r="G2" s="369" t="str">
        <f ca="1">C223</f>
        <v xml:space="preserve">_x0006_°ðÉ†?ßJŽ_x0006_h7o¯ƒ
</v>
      </c>
      <c r="H2" s="369"/>
      <c r="I2" s="298"/>
      <c r="J2" s="194"/>
      <c r="K2" s="194"/>
      <c r="L2" s="194"/>
      <c r="M2" s="194"/>
      <c r="N2" s="194"/>
      <c r="O2" s="194"/>
      <c r="P2" s="194"/>
      <c r="Q2" s="194"/>
      <c r="R2" s="194"/>
      <c r="S2" s="195"/>
      <c r="T2" s="3"/>
      <c r="U2" s="3"/>
      <c r="V2" s="3"/>
    </row>
    <row r="3" spans="1:35" x14ac:dyDescent="0.25">
      <c r="B3" s="196"/>
      <c r="C3" s="3"/>
      <c r="D3" s="3"/>
      <c r="E3" s="3"/>
      <c r="F3" s="3"/>
      <c r="G3" s="3"/>
      <c r="H3" s="3"/>
      <c r="I3" s="3"/>
      <c r="J3" s="3"/>
      <c r="K3" s="3"/>
      <c r="L3" s="3"/>
      <c r="M3" s="3"/>
      <c r="N3" s="3"/>
      <c r="O3" s="3"/>
      <c r="P3" s="3"/>
      <c r="Q3" s="3"/>
      <c r="R3" s="3"/>
      <c r="S3" s="197"/>
      <c r="T3" s="3"/>
      <c r="U3" s="3"/>
      <c r="V3" s="3"/>
    </row>
    <row r="4" spans="1:35" ht="21" x14ac:dyDescent="0.35">
      <c r="B4" s="299" t="s">
        <v>6</v>
      </c>
      <c r="C4" s="151">
        <v>1</v>
      </c>
      <c r="D4" s="151">
        <v>2</v>
      </c>
      <c r="E4" s="151">
        <v>3</v>
      </c>
      <c r="F4" s="151">
        <v>4</v>
      </c>
      <c r="G4" s="151">
        <v>5</v>
      </c>
      <c r="H4" s="151">
        <v>6</v>
      </c>
      <c r="I4" s="151">
        <v>7</v>
      </c>
      <c r="J4" s="151">
        <v>8</v>
      </c>
      <c r="K4" s="151">
        <v>9</v>
      </c>
      <c r="L4" s="151">
        <v>10</v>
      </c>
      <c r="M4" s="151">
        <v>11</v>
      </c>
      <c r="N4" s="151">
        <v>12</v>
      </c>
      <c r="O4" s="151">
        <v>13</v>
      </c>
      <c r="P4" s="151">
        <v>14</v>
      </c>
      <c r="Q4" s="151">
        <v>15</v>
      </c>
      <c r="R4" s="151">
        <v>16</v>
      </c>
      <c r="S4" s="197"/>
      <c r="T4" s="141"/>
      <c r="U4" s="152"/>
      <c r="V4" s="152"/>
      <c r="W4" s="23"/>
      <c r="X4" s="23"/>
      <c r="Y4" s="23"/>
      <c r="Z4" s="23"/>
      <c r="AA4" s="23"/>
      <c r="AB4" s="23"/>
      <c r="AC4" s="23"/>
      <c r="AD4" s="23"/>
      <c r="AE4" s="23"/>
      <c r="AF4" s="23"/>
      <c r="AG4" s="23"/>
      <c r="AH4" s="23"/>
      <c r="AI4" s="23"/>
    </row>
    <row r="5" spans="1:35" ht="21" x14ac:dyDescent="0.35">
      <c r="B5" s="299" t="s">
        <v>5</v>
      </c>
      <c r="C5" s="151" t="str">
        <f t="shared" ref="C5:R5" si="0">MID($C$2,C4,1)</f>
        <v>"</v>
      </c>
      <c r="D5" s="151" t="str">
        <f t="shared" si="0"/>
        <v>H</v>
      </c>
      <c r="E5" s="151" t="str">
        <f t="shared" si="0"/>
        <v>e</v>
      </c>
      <c r="F5" s="151" t="str">
        <f t="shared" si="0"/>
        <v>l</v>
      </c>
      <c r="G5" s="151" t="str">
        <f t="shared" si="0"/>
        <v>l</v>
      </c>
      <c r="H5" s="151" t="str">
        <f t="shared" si="0"/>
        <v>o</v>
      </c>
      <c r="I5" s="151" t="str">
        <f t="shared" si="0"/>
        <v xml:space="preserve"> </v>
      </c>
      <c r="J5" s="151" t="str">
        <f t="shared" si="0"/>
        <v>W</v>
      </c>
      <c r="K5" s="151" t="str">
        <f t="shared" si="0"/>
        <v>o</v>
      </c>
      <c r="L5" s="151" t="str">
        <f t="shared" si="0"/>
        <v>r</v>
      </c>
      <c r="M5" s="151" t="str">
        <f t="shared" si="0"/>
        <v>l</v>
      </c>
      <c r="N5" s="151" t="str">
        <f t="shared" si="0"/>
        <v>d</v>
      </c>
      <c r="O5" s="151" t="str">
        <f t="shared" si="0"/>
        <v>!</v>
      </c>
      <c r="P5" s="151" t="str">
        <f t="shared" si="0"/>
        <v>!</v>
      </c>
      <c r="Q5" s="151" t="str">
        <f t="shared" si="0"/>
        <v>!</v>
      </c>
      <c r="R5" s="151" t="str">
        <f t="shared" si="0"/>
        <v>"</v>
      </c>
      <c r="S5" s="197"/>
      <c r="T5" s="139"/>
      <c r="U5" s="151"/>
      <c r="V5" s="151"/>
      <c r="W5" s="85"/>
      <c r="X5" s="85"/>
      <c r="Y5" s="85"/>
      <c r="Z5" s="85"/>
      <c r="AA5" s="85"/>
      <c r="AB5" s="85"/>
      <c r="AC5" s="85"/>
      <c r="AD5" s="85"/>
      <c r="AE5" s="85"/>
      <c r="AF5" s="85"/>
      <c r="AG5" s="85"/>
      <c r="AH5" s="85"/>
      <c r="AI5" s="85"/>
    </row>
    <row r="6" spans="1:35" x14ac:dyDescent="0.25">
      <c r="B6" s="196"/>
      <c r="C6" s="3"/>
      <c r="D6" s="3"/>
      <c r="E6" s="3"/>
      <c r="F6" s="3"/>
      <c r="G6" s="3"/>
      <c r="H6" s="3"/>
      <c r="I6" s="3"/>
      <c r="J6" s="3"/>
      <c r="K6" s="3"/>
      <c r="L6" s="3"/>
      <c r="M6" s="3"/>
      <c r="N6" s="3"/>
      <c r="O6" s="3"/>
      <c r="P6" s="3"/>
      <c r="Q6" s="3"/>
      <c r="R6" s="3"/>
      <c r="S6" s="197"/>
      <c r="T6" s="3"/>
      <c r="U6" s="3"/>
      <c r="V6" s="3"/>
    </row>
    <row r="7" spans="1:35" ht="21" x14ac:dyDescent="0.35">
      <c r="B7" s="299" t="s">
        <v>491</v>
      </c>
      <c r="C7" s="151">
        <f>CODE(C5)</f>
        <v>34</v>
      </c>
      <c r="D7" s="151">
        <f t="shared" ref="D7:R7" si="1">CODE(D5)</f>
        <v>72</v>
      </c>
      <c r="E7" s="151">
        <f t="shared" si="1"/>
        <v>101</v>
      </c>
      <c r="F7" s="151">
        <f t="shared" si="1"/>
        <v>108</v>
      </c>
      <c r="G7" s="151">
        <f t="shared" si="1"/>
        <v>108</v>
      </c>
      <c r="H7" s="151">
        <f t="shared" si="1"/>
        <v>111</v>
      </c>
      <c r="I7" s="151">
        <f t="shared" si="1"/>
        <v>32</v>
      </c>
      <c r="J7" s="151">
        <f t="shared" si="1"/>
        <v>87</v>
      </c>
      <c r="K7" s="151">
        <f t="shared" si="1"/>
        <v>111</v>
      </c>
      <c r="L7" s="151">
        <f t="shared" si="1"/>
        <v>114</v>
      </c>
      <c r="M7" s="151">
        <f t="shared" si="1"/>
        <v>108</v>
      </c>
      <c r="N7" s="151">
        <f t="shared" si="1"/>
        <v>100</v>
      </c>
      <c r="O7" s="151">
        <f t="shared" si="1"/>
        <v>33</v>
      </c>
      <c r="P7" s="151">
        <f t="shared" si="1"/>
        <v>33</v>
      </c>
      <c r="Q7" s="151">
        <f t="shared" si="1"/>
        <v>33</v>
      </c>
      <c r="R7" s="151">
        <f t="shared" si="1"/>
        <v>34</v>
      </c>
      <c r="S7" s="197"/>
      <c r="T7" s="3"/>
      <c r="U7" s="3"/>
      <c r="V7" s="3"/>
    </row>
    <row r="8" spans="1:35" x14ac:dyDescent="0.25">
      <c r="B8" s="196"/>
      <c r="C8" s="151" t="str">
        <f>CHAR(C7)</f>
        <v>"</v>
      </c>
      <c r="D8" s="151" t="str">
        <f t="shared" ref="D8:R8" si="2">CHAR(D7)</f>
        <v>H</v>
      </c>
      <c r="E8" s="151" t="str">
        <f t="shared" si="2"/>
        <v>e</v>
      </c>
      <c r="F8" s="151" t="str">
        <f t="shared" si="2"/>
        <v>l</v>
      </c>
      <c r="G8" s="151" t="str">
        <f t="shared" si="2"/>
        <v>l</v>
      </c>
      <c r="H8" s="151" t="str">
        <f t="shared" si="2"/>
        <v>o</v>
      </c>
      <c r="I8" s="151" t="str">
        <f t="shared" si="2"/>
        <v xml:space="preserve"> </v>
      </c>
      <c r="J8" s="151" t="str">
        <f t="shared" si="2"/>
        <v>W</v>
      </c>
      <c r="K8" s="151" t="str">
        <f t="shared" si="2"/>
        <v>o</v>
      </c>
      <c r="L8" s="151" t="str">
        <f t="shared" si="2"/>
        <v>r</v>
      </c>
      <c r="M8" s="151" t="str">
        <f t="shared" si="2"/>
        <v>l</v>
      </c>
      <c r="N8" s="151" t="str">
        <f t="shared" si="2"/>
        <v>d</v>
      </c>
      <c r="O8" s="151" t="str">
        <f t="shared" si="2"/>
        <v>!</v>
      </c>
      <c r="P8" s="151" t="str">
        <f t="shared" si="2"/>
        <v>!</v>
      </c>
      <c r="Q8" s="151" t="str">
        <f t="shared" si="2"/>
        <v>!</v>
      </c>
      <c r="R8" s="151" t="str">
        <f t="shared" si="2"/>
        <v>"</v>
      </c>
      <c r="S8" s="197"/>
      <c r="T8" s="139"/>
      <c r="U8" s="151"/>
      <c r="V8" s="151"/>
      <c r="W8" s="85"/>
      <c r="X8" s="85"/>
      <c r="Y8" s="85"/>
      <c r="Z8" s="85"/>
      <c r="AA8" s="85"/>
      <c r="AB8" s="85"/>
      <c r="AC8" s="85"/>
      <c r="AD8" s="85"/>
      <c r="AE8" s="85"/>
      <c r="AF8" s="85"/>
      <c r="AG8" s="85"/>
      <c r="AH8" s="85"/>
      <c r="AI8" s="85"/>
    </row>
    <row r="9" spans="1:35" x14ac:dyDescent="0.25">
      <c r="B9" s="196"/>
      <c r="C9" s="152"/>
      <c r="D9" s="152"/>
      <c r="E9" s="152"/>
      <c r="F9" s="152"/>
      <c r="G9" s="152"/>
      <c r="H9" s="152"/>
      <c r="I9" s="152"/>
      <c r="J9" s="152"/>
      <c r="K9" s="152"/>
      <c r="L9" s="152"/>
      <c r="M9" s="152"/>
      <c r="N9" s="152"/>
      <c r="O9" s="152"/>
      <c r="P9" s="152"/>
      <c r="Q9" s="152"/>
      <c r="R9" s="152"/>
      <c r="S9" s="197"/>
      <c r="T9" s="3"/>
      <c r="U9" s="3"/>
      <c r="V9" s="3"/>
    </row>
    <row r="10" spans="1:35" x14ac:dyDescent="0.25">
      <c r="B10" s="196"/>
      <c r="C10" s="339" t="s">
        <v>2</v>
      </c>
      <c r="D10" s="339"/>
      <c r="E10" s="339"/>
      <c r="F10" s="339"/>
      <c r="G10" s="339"/>
      <c r="H10" s="339"/>
      <c r="I10" s="339"/>
      <c r="J10" s="339"/>
      <c r="K10" s="339"/>
      <c r="L10" s="339"/>
      <c r="M10" s="339"/>
      <c r="N10" s="339"/>
      <c r="O10" s="339"/>
      <c r="P10" s="339"/>
      <c r="Q10" s="339"/>
      <c r="R10" s="339"/>
      <c r="S10" s="197"/>
      <c r="T10" s="3"/>
      <c r="U10" s="3"/>
      <c r="V10" s="3"/>
    </row>
    <row r="11" spans="1:35" x14ac:dyDescent="0.25">
      <c r="B11" s="196"/>
      <c r="C11" s="339" t="s">
        <v>1</v>
      </c>
      <c r="D11" s="339"/>
      <c r="E11" s="339"/>
      <c r="F11" s="339"/>
      <c r="G11" s="339"/>
      <c r="H11" s="339"/>
      <c r="I11" s="339"/>
      <c r="J11" s="339"/>
      <c r="K11" s="339"/>
      <c r="L11" s="339"/>
      <c r="M11" s="339"/>
      <c r="N11" s="339"/>
      <c r="O11" s="339"/>
      <c r="P11" s="339"/>
      <c r="Q11" s="339"/>
      <c r="R11" s="339"/>
      <c r="S11" s="197"/>
      <c r="T11" s="3"/>
      <c r="U11" s="3"/>
      <c r="V11" s="3"/>
    </row>
    <row r="12" spans="1:35" ht="15.75" thickBot="1" x14ac:dyDescent="0.3">
      <c r="B12" s="264"/>
      <c r="C12" s="341" t="s">
        <v>441</v>
      </c>
      <c r="D12" s="342"/>
      <c r="E12" s="342"/>
      <c r="F12" s="343"/>
      <c r="G12" s="344" t="s">
        <v>442</v>
      </c>
      <c r="H12" s="345"/>
      <c r="I12" s="345"/>
      <c r="J12" s="346"/>
      <c r="K12" s="347" t="s">
        <v>443</v>
      </c>
      <c r="L12" s="348"/>
      <c r="M12" s="348"/>
      <c r="N12" s="349"/>
      <c r="O12" s="350" t="s">
        <v>444</v>
      </c>
      <c r="P12" s="351"/>
      <c r="Q12" s="351"/>
      <c r="R12" s="352"/>
      <c r="S12" s="197"/>
      <c r="T12" s="3"/>
      <c r="U12" s="3"/>
      <c r="V12" s="3"/>
    </row>
    <row r="13" spans="1:35" s="315" customFormat="1" ht="15.75" thickBot="1" x14ac:dyDescent="0.3">
      <c r="B13" s="264"/>
      <c r="C13" s="47" t="s">
        <v>426</v>
      </c>
      <c r="D13" s="47" t="s">
        <v>427</v>
      </c>
      <c r="E13" s="47" t="s">
        <v>428</v>
      </c>
      <c r="F13" s="47" t="s">
        <v>429</v>
      </c>
      <c r="G13" s="48" t="s">
        <v>247</v>
      </c>
      <c r="H13" s="48" t="s">
        <v>248</v>
      </c>
      <c r="I13" s="48" t="s">
        <v>249</v>
      </c>
      <c r="J13" s="48" t="s">
        <v>250</v>
      </c>
      <c r="K13" s="46" t="s">
        <v>445</v>
      </c>
      <c r="L13" s="46" t="s">
        <v>446</v>
      </c>
      <c r="M13" s="46" t="s">
        <v>447</v>
      </c>
      <c r="N13" s="46" t="s">
        <v>448</v>
      </c>
      <c r="O13" s="49" t="s">
        <v>449</v>
      </c>
      <c r="P13" s="49" t="s">
        <v>450</v>
      </c>
      <c r="Q13" s="49" t="s">
        <v>430</v>
      </c>
      <c r="R13" s="49" t="s">
        <v>451</v>
      </c>
      <c r="S13" s="197"/>
      <c r="T13" s="3"/>
      <c r="U13" s="3"/>
      <c r="V13" s="3"/>
    </row>
    <row r="14" spans="1:35" ht="21" x14ac:dyDescent="0.35">
      <c r="B14" s="300" t="s">
        <v>0</v>
      </c>
      <c r="C14" s="52">
        <f ca="1">Encyrption!C22</f>
        <v>0</v>
      </c>
      <c r="D14" s="192">
        <f ca="1">Encyrption!D22</f>
        <v>1</v>
      </c>
      <c r="E14" s="51">
        <f ca="1">Encyrption!E22</f>
        <v>2</v>
      </c>
      <c r="F14" s="51">
        <f ca="1">Encyrption!F22</f>
        <v>3</v>
      </c>
      <c r="G14" s="96">
        <f ca="1">Encyrption!G22</f>
        <v>4</v>
      </c>
      <c r="H14" s="53">
        <f ca="1">Encyrption!H22</f>
        <v>5</v>
      </c>
      <c r="I14" s="193">
        <f ca="1">Encyrption!I22</f>
        <v>6</v>
      </c>
      <c r="J14" s="96">
        <f ca="1">Encyrption!J22</f>
        <v>7</v>
      </c>
      <c r="K14" s="94">
        <f ca="1">Encyrption!K22</f>
        <v>8</v>
      </c>
      <c r="L14" s="94">
        <f ca="1">Encyrption!L22</f>
        <v>9</v>
      </c>
      <c r="M14" s="94">
        <f ca="1">Encyrption!M22</f>
        <v>10</v>
      </c>
      <c r="N14" s="94">
        <f ca="1">Encyrption!N22</f>
        <v>11</v>
      </c>
      <c r="O14" s="55">
        <f ca="1">Encyrption!O22</f>
        <v>12</v>
      </c>
      <c r="P14" s="56">
        <f ca="1">Encyrption!P22</f>
        <v>13</v>
      </c>
      <c r="Q14" s="56">
        <f ca="1">Encyrption!Q22</f>
        <v>14</v>
      </c>
      <c r="R14" s="56">
        <f ca="1">Encyrption!R22</f>
        <v>15</v>
      </c>
      <c r="S14" s="197"/>
      <c r="T14" s="3"/>
      <c r="U14" s="3"/>
      <c r="V14" s="3"/>
    </row>
    <row r="15" spans="1:35" ht="15.75" thickBot="1" x14ac:dyDescent="0.3">
      <c r="B15" s="301"/>
      <c r="C15" s="302"/>
      <c r="D15" s="302"/>
      <c r="E15" s="302"/>
      <c r="F15" s="302"/>
      <c r="G15" s="302"/>
      <c r="H15" s="302"/>
      <c r="I15" s="302"/>
      <c r="J15" s="302"/>
      <c r="K15" s="302"/>
      <c r="L15" s="302"/>
      <c r="M15" s="302"/>
      <c r="N15" s="302"/>
      <c r="O15" s="302"/>
      <c r="P15" s="302"/>
      <c r="Q15" s="302"/>
      <c r="R15" s="302"/>
      <c r="S15" s="199"/>
      <c r="T15" s="196"/>
      <c r="U15" s="3"/>
      <c r="V15" s="3"/>
    </row>
    <row r="16" spans="1:35" ht="16.5" thickTop="1" thickBot="1" x14ac:dyDescent="0.3">
      <c r="A16" s="3"/>
      <c r="B16" s="290"/>
      <c r="C16" s="283"/>
      <c r="D16" s="283"/>
      <c r="E16" s="283"/>
      <c r="F16" s="283"/>
      <c r="G16" s="283"/>
      <c r="H16" s="283"/>
      <c r="I16" s="283"/>
      <c r="J16" s="283"/>
      <c r="K16" s="283"/>
      <c r="L16" s="283"/>
      <c r="M16" s="283"/>
      <c r="N16" s="283"/>
      <c r="O16" s="283"/>
      <c r="P16" s="283"/>
      <c r="Q16" s="283"/>
      <c r="R16" s="283"/>
      <c r="S16" s="290"/>
      <c r="T16" s="290"/>
      <c r="U16" s="290"/>
      <c r="V16" s="290"/>
    </row>
    <row r="17" spans="1:45" ht="27" thickTop="1" x14ac:dyDescent="0.4">
      <c r="A17" s="280"/>
      <c r="B17" s="120" t="s">
        <v>489</v>
      </c>
      <c r="C17" s="75" t="str" cm="1">
        <f t="array" ref="C17:F17">TRANSPOSE(C20:C23)</f>
        <v>B_0</v>
      </c>
      <c r="D17" s="75" t="str">
        <v>B_1</v>
      </c>
      <c r="E17" s="75" t="str">
        <v>B_2</v>
      </c>
      <c r="F17" s="75" t="str">
        <v>B_3</v>
      </c>
      <c r="G17" s="75" t="str" cm="1">
        <f t="array" ref="G17:J17">TRANSPOSE(D20:D23)</f>
        <v>B_4</v>
      </c>
      <c r="H17" s="75" t="str">
        <v>B_5</v>
      </c>
      <c r="I17" s="75" t="str">
        <v>B_6</v>
      </c>
      <c r="J17" s="75" t="str">
        <v>B_7</v>
      </c>
      <c r="K17" s="75" t="str" cm="1">
        <f t="array" ref="K17:N17">TRANSPOSE(E20:E23)</f>
        <v>B_8</v>
      </c>
      <c r="L17" s="75" t="str">
        <v>B_9</v>
      </c>
      <c r="M17" s="75" t="str">
        <v>B_10</v>
      </c>
      <c r="N17" s="75" t="str">
        <v>B_11</v>
      </c>
      <c r="O17" s="75" t="str" cm="1">
        <f t="array" ref="O17:R17">TRANSPOSE(F20:F23)</f>
        <v>B_12</v>
      </c>
      <c r="P17" s="75" t="str">
        <v>B_13</v>
      </c>
      <c r="Q17" s="75" t="str">
        <v>B_14</v>
      </c>
      <c r="R17" s="75" t="str">
        <v>B_15</v>
      </c>
      <c r="S17" s="3"/>
      <c r="T17" s="141"/>
      <c r="U17" s="141"/>
      <c r="V17" s="281"/>
      <c r="W17" s="23"/>
      <c r="X17" s="23"/>
      <c r="Y17" s="23"/>
      <c r="Z17" s="23"/>
      <c r="AA17" s="23"/>
      <c r="AB17" s="23"/>
      <c r="AC17" s="23"/>
      <c r="AD17" s="23"/>
      <c r="AE17" s="23"/>
      <c r="AF17" s="23"/>
      <c r="AG17" s="23"/>
      <c r="AH17" s="23"/>
      <c r="AI17" s="23"/>
    </row>
    <row r="18" spans="1:45" x14ac:dyDescent="0.25">
      <c r="A18" s="280"/>
      <c r="B18" s="3"/>
      <c r="C18" s="141">
        <f t="shared" ref="C18:R18" ca="1" si="3">_xlfn.BITXOR(C7,C14)</f>
        <v>34</v>
      </c>
      <c r="D18" s="141">
        <f t="shared" ca="1" si="3"/>
        <v>73</v>
      </c>
      <c r="E18" s="141">
        <f t="shared" ca="1" si="3"/>
        <v>103</v>
      </c>
      <c r="F18" s="141">
        <f t="shared" ca="1" si="3"/>
        <v>111</v>
      </c>
      <c r="G18" s="141">
        <f t="shared" ca="1" si="3"/>
        <v>104</v>
      </c>
      <c r="H18" s="141">
        <f t="shared" ca="1" si="3"/>
        <v>106</v>
      </c>
      <c r="I18" s="141">
        <f t="shared" ca="1" si="3"/>
        <v>38</v>
      </c>
      <c r="J18" s="141">
        <f t="shared" ca="1" si="3"/>
        <v>80</v>
      </c>
      <c r="K18" s="141">
        <f t="shared" ca="1" si="3"/>
        <v>103</v>
      </c>
      <c r="L18" s="141">
        <f t="shared" ca="1" si="3"/>
        <v>123</v>
      </c>
      <c r="M18" s="141">
        <f t="shared" ca="1" si="3"/>
        <v>102</v>
      </c>
      <c r="N18" s="141">
        <f t="shared" ca="1" si="3"/>
        <v>111</v>
      </c>
      <c r="O18" s="141">
        <f t="shared" ca="1" si="3"/>
        <v>45</v>
      </c>
      <c r="P18" s="141">
        <f t="shared" ca="1" si="3"/>
        <v>44</v>
      </c>
      <c r="Q18" s="141">
        <f t="shared" ca="1" si="3"/>
        <v>47</v>
      </c>
      <c r="R18" s="141">
        <f t="shared" ca="1" si="3"/>
        <v>45</v>
      </c>
      <c r="S18" s="3"/>
      <c r="T18" s="3"/>
      <c r="U18" s="3"/>
      <c r="V18" s="280"/>
    </row>
    <row r="19" spans="1:45" ht="15.75" thickBot="1" x14ac:dyDescent="0.3">
      <c r="A19" s="280"/>
      <c r="B19" s="3"/>
      <c r="C19" s="2"/>
      <c r="D19" s="3"/>
      <c r="E19" s="3"/>
      <c r="F19" s="2"/>
      <c r="G19" s="3"/>
      <c r="H19" s="339" t="s">
        <v>256</v>
      </c>
      <c r="I19" s="339"/>
      <c r="J19" s="339"/>
      <c r="K19" s="339"/>
      <c r="L19" s="3"/>
      <c r="M19" s="339" t="s">
        <v>257</v>
      </c>
      <c r="N19" s="339"/>
      <c r="O19" s="339"/>
      <c r="P19" s="339"/>
      <c r="Q19" s="3"/>
      <c r="R19" s="337" t="s">
        <v>258</v>
      </c>
      <c r="S19" s="339"/>
      <c r="T19" s="339"/>
      <c r="U19" s="337"/>
      <c r="V19" s="280"/>
    </row>
    <row r="20" spans="1:45" x14ac:dyDescent="0.25">
      <c r="A20" s="280"/>
      <c r="B20" s="3"/>
      <c r="C20" s="8" t="s">
        <v>9</v>
      </c>
      <c r="D20" s="139" t="s">
        <v>24</v>
      </c>
      <c r="E20" s="139" t="s">
        <v>16</v>
      </c>
      <c r="F20" s="139" t="s">
        <v>21</v>
      </c>
      <c r="G20" s="12"/>
      <c r="H20" s="143" t="str">
        <f ca="1">_xlfn.BASE(M20,2,8)</f>
        <v>00100010</v>
      </c>
      <c r="I20" s="139" t="str">
        <f t="shared" ref="I20:K23" ca="1" si="4">_xlfn.BASE(N20,2,8)</f>
        <v>01101000</v>
      </c>
      <c r="J20" s="139" t="str">
        <f t="shared" ca="1" si="4"/>
        <v>01100111</v>
      </c>
      <c r="K20" s="11" t="str">
        <f t="shared" ca="1" si="4"/>
        <v>00101101</v>
      </c>
      <c r="L20" s="88"/>
      <c r="M20" s="8">
        <f ca="1">$C$18</f>
        <v>34</v>
      </c>
      <c r="N20" s="139">
        <f ca="1">$G$18</f>
        <v>104</v>
      </c>
      <c r="O20" s="139">
        <f ca="1">$K$18</f>
        <v>103</v>
      </c>
      <c r="P20" s="143">
        <f ca="1">$O$18</f>
        <v>45</v>
      </c>
      <c r="Q20" s="12"/>
      <c r="R20" s="139" t="str">
        <f ca="1">_xlfn.BASE(M20,16,2)</f>
        <v>22</v>
      </c>
      <c r="S20" s="139" t="str">
        <f t="shared" ref="S20:U23" ca="1" si="5">_xlfn.BASE(N20,16,2)</f>
        <v>68</v>
      </c>
      <c r="T20" s="139" t="str">
        <f t="shared" ca="1" si="5"/>
        <v>67</v>
      </c>
      <c r="U20" s="11" t="str">
        <f t="shared" ca="1" si="5"/>
        <v>2D</v>
      </c>
      <c r="V20" s="282"/>
    </row>
    <row r="21" spans="1:45" x14ac:dyDescent="0.25">
      <c r="A21" s="280"/>
      <c r="B21" s="3"/>
      <c r="C21" s="9" t="s">
        <v>10</v>
      </c>
      <c r="D21" s="139" t="s">
        <v>13</v>
      </c>
      <c r="E21" s="139" t="s">
        <v>17</v>
      </c>
      <c r="F21" s="139" t="s">
        <v>18</v>
      </c>
      <c r="G21" s="10" t="s">
        <v>8</v>
      </c>
      <c r="H21" s="139" t="str">
        <f t="shared" ref="H21:H23" ca="1" si="6">_xlfn.BASE(M21,2,8)</f>
        <v>01001001</v>
      </c>
      <c r="I21" s="139" t="str">
        <f t="shared" ca="1" si="4"/>
        <v>01101010</v>
      </c>
      <c r="J21" s="139" t="str">
        <f t="shared" ca="1" si="4"/>
        <v>01111011</v>
      </c>
      <c r="K21" s="88" t="str">
        <f t="shared" ca="1" si="4"/>
        <v>00101100</v>
      </c>
      <c r="L21" s="88" t="s">
        <v>8</v>
      </c>
      <c r="M21" s="9">
        <f ca="1">$D$18</f>
        <v>73</v>
      </c>
      <c r="N21" s="139">
        <f ca="1">$H$18</f>
        <v>106</v>
      </c>
      <c r="O21" s="139">
        <f ca="1">$L$18</f>
        <v>123</v>
      </c>
      <c r="P21" s="139">
        <f ca="1">$P$18</f>
        <v>44</v>
      </c>
      <c r="Q21" s="10" t="s">
        <v>254</v>
      </c>
      <c r="R21" s="139" t="str">
        <f t="shared" ref="R21:R23" ca="1" si="7">_xlfn.BASE(M21,16,2)</f>
        <v>49</v>
      </c>
      <c r="S21" s="139" t="str">
        <f t="shared" ca="1" si="5"/>
        <v>6A</v>
      </c>
      <c r="T21" s="139" t="str">
        <f t="shared" ca="1" si="5"/>
        <v>7B</v>
      </c>
      <c r="U21" s="88" t="str">
        <f t="shared" ca="1" si="5"/>
        <v>2C</v>
      </c>
      <c r="V21" s="282"/>
    </row>
    <row r="22" spans="1:45" x14ac:dyDescent="0.25">
      <c r="A22" s="280"/>
      <c r="B22" s="4"/>
      <c r="C22" s="139" t="s">
        <v>11</v>
      </c>
      <c r="D22" s="139" t="s">
        <v>14</v>
      </c>
      <c r="E22" s="139" t="s">
        <v>19</v>
      </c>
      <c r="F22" s="139" t="s">
        <v>22</v>
      </c>
      <c r="G22" s="12"/>
      <c r="H22" s="139" t="str">
        <f t="shared" ca="1" si="6"/>
        <v>01100111</v>
      </c>
      <c r="I22" s="139" t="str">
        <f t="shared" ca="1" si="4"/>
        <v>00100110</v>
      </c>
      <c r="J22" s="139" t="str">
        <f t="shared" ca="1" si="4"/>
        <v>01100110</v>
      </c>
      <c r="K22" s="88" t="str">
        <f t="shared" ca="1" si="4"/>
        <v>00101111</v>
      </c>
      <c r="L22" s="88"/>
      <c r="M22" s="139">
        <f ca="1">$E$18</f>
        <v>103</v>
      </c>
      <c r="N22" s="139">
        <f ca="1">$I$18</f>
        <v>38</v>
      </c>
      <c r="O22" s="139">
        <f ca="1">$M$18</f>
        <v>102</v>
      </c>
      <c r="P22" s="139">
        <f ca="1">$Q$18</f>
        <v>47</v>
      </c>
      <c r="Q22" s="12"/>
      <c r="R22" s="139" t="str">
        <f t="shared" ca="1" si="7"/>
        <v>67</v>
      </c>
      <c r="S22" s="139" t="str">
        <f t="shared" ca="1" si="5"/>
        <v>26</v>
      </c>
      <c r="T22" s="139" t="str">
        <f t="shared" ca="1" si="5"/>
        <v>66</v>
      </c>
      <c r="U22" s="88" t="str">
        <f t="shared" ca="1" si="5"/>
        <v>2F</v>
      </c>
      <c r="V22" s="282"/>
    </row>
    <row r="23" spans="1:45" ht="15.75" thickBot="1" x14ac:dyDescent="0.3">
      <c r="A23" s="280"/>
      <c r="B23" s="3"/>
      <c r="C23" s="16" t="s">
        <v>12</v>
      </c>
      <c r="D23" s="139" t="s">
        <v>15</v>
      </c>
      <c r="E23" s="139" t="s">
        <v>20</v>
      </c>
      <c r="F23" s="139" t="s">
        <v>23</v>
      </c>
      <c r="G23" s="12"/>
      <c r="H23" s="16" t="str">
        <f t="shared" ca="1" si="6"/>
        <v>01101111</v>
      </c>
      <c r="I23" s="139" t="str">
        <f t="shared" ca="1" si="4"/>
        <v>01010000</v>
      </c>
      <c r="J23" s="139" t="str">
        <f t="shared" ca="1" si="4"/>
        <v>01101111</v>
      </c>
      <c r="K23" s="14" t="str">
        <f t="shared" ca="1" si="4"/>
        <v>00101101</v>
      </c>
      <c r="L23" s="88"/>
      <c r="M23" s="16">
        <f ca="1">$F$18</f>
        <v>111</v>
      </c>
      <c r="N23" s="139">
        <f ca="1">$J$18</f>
        <v>80</v>
      </c>
      <c r="O23" s="139">
        <f ca="1">$N$18</f>
        <v>111</v>
      </c>
      <c r="P23" s="14">
        <f ca="1">$R$18</f>
        <v>45</v>
      </c>
      <c r="Q23" s="12"/>
      <c r="R23" s="16" t="str">
        <f t="shared" ca="1" si="7"/>
        <v>6F</v>
      </c>
      <c r="S23" s="139" t="str">
        <f t="shared" ca="1" si="5"/>
        <v>50</v>
      </c>
      <c r="T23" s="139" t="str">
        <f t="shared" ca="1" si="5"/>
        <v>6F</v>
      </c>
      <c r="U23" s="14" t="str">
        <f t="shared" ca="1" si="5"/>
        <v>2D</v>
      </c>
      <c r="V23" s="282"/>
    </row>
    <row r="24" spans="1:45" s="142" customFormat="1" ht="15.75" thickBot="1" x14ac:dyDescent="0.3">
      <c r="A24" s="3"/>
      <c r="B24" s="286"/>
      <c r="C24" s="283"/>
      <c r="D24" s="283"/>
      <c r="E24" s="283"/>
      <c r="F24" s="284"/>
      <c r="G24" s="283"/>
      <c r="H24" s="283"/>
      <c r="I24" s="283"/>
      <c r="J24" s="283"/>
      <c r="K24" s="283"/>
      <c r="L24" s="283"/>
      <c r="M24" s="283"/>
      <c r="N24" s="283"/>
      <c r="O24" s="283"/>
      <c r="P24" s="283"/>
      <c r="Q24" s="283"/>
      <c r="R24" s="283"/>
      <c r="S24" s="283"/>
      <c r="T24" s="283"/>
      <c r="U24" s="283"/>
      <c r="V24" s="285"/>
    </row>
    <row r="25" spans="1:45" ht="16.5" thickTop="1" thickBot="1" x14ac:dyDescent="0.3">
      <c r="C25" s="164"/>
      <c r="F25" s="3"/>
      <c r="H25" s="3"/>
      <c r="K25" s="3"/>
      <c r="L25" s="3"/>
      <c r="P25" s="164"/>
      <c r="R25" s="3"/>
      <c r="S25" s="3"/>
      <c r="T25" s="3"/>
      <c r="U25" s="3"/>
      <c r="V25" s="3"/>
    </row>
    <row r="26" spans="1:45" ht="27" thickTop="1" x14ac:dyDescent="0.4">
      <c r="B26" s="261" t="s">
        <v>251</v>
      </c>
      <c r="C26" s="156"/>
      <c r="D26" s="157"/>
      <c r="E26" s="157"/>
      <c r="F26" s="157"/>
      <c r="G26" s="157"/>
      <c r="H26" s="157"/>
      <c r="I26" s="157"/>
      <c r="J26" s="157"/>
      <c r="K26" s="157"/>
      <c r="L26" s="157"/>
      <c r="M26" s="157"/>
      <c r="N26" s="157"/>
      <c r="O26" s="157"/>
      <c r="P26" s="157"/>
      <c r="Q26" s="157"/>
      <c r="R26" s="157"/>
      <c r="S26" s="157"/>
      <c r="T26" s="157"/>
      <c r="U26" s="157"/>
      <c r="V26" s="158"/>
      <c r="X26" s="142"/>
      <c r="Y26" s="142"/>
      <c r="Z26" s="142"/>
      <c r="AA26" s="142"/>
      <c r="AB26" s="142"/>
      <c r="AC26" s="142"/>
      <c r="AD26" s="142"/>
      <c r="AE26" s="142"/>
      <c r="AF26" s="142"/>
      <c r="AG26" s="142"/>
      <c r="AH26" s="142"/>
      <c r="AI26" s="142"/>
      <c r="AJ26" s="142"/>
      <c r="AK26" s="142"/>
      <c r="AL26" s="142"/>
      <c r="AM26" s="142"/>
      <c r="AN26" s="142"/>
      <c r="AO26" s="142"/>
      <c r="AP26" s="142"/>
      <c r="AQ26" s="142"/>
      <c r="AR26" s="142"/>
      <c r="AS26" s="142"/>
    </row>
    <row r="27" spans="1:45" x14ac:dyDescent="0.25">
      <c r="B27" s="159"/>
      <c r="C27" s="364" t="s">
        <v>26</v>
      </c>
      <c r="D27" s="364"/>
      <c r="E27" s="3"/>
      <c r="F27" s="364" t="s">
        <v>30</v>
      </c>
      <c r="G27" s="364"/>
      <c r="H27" s="3"/>
      <c r="I27" s="364" t="s">
        <v>34</v>
      </c>
      <c r="J27" s="364"/>
      <c r="K27" s="3"/>
      <c r="L27" s="364" t="s">
        <v>38</v>
      </c>
      <c r="M27" s="364"/>
      <c r="N27" s="3"/>
      <c r="O27" s="3"/>
      <c r="P27" s="3"/>
      <c r="Q27" s="3"/>
      <c r="R27" s="3"/>
      <c r="S27" s="3"/>
      <c r="T27" s="3"/>
      <c r="U27" s="3"/>
      <c r="V27" s="160"/>
      <c r="X27" s="142"/>
      <c r="Y27" s="142"/>
      <c r="Z27" s="142"/>
      <c r="AA27" s="142"/>
      <c r="AB27" s="142"/>
      <c r="AC27" s="142"/>
      <c r="AD27" s="142"/>
      <c r="AE27" s="142"/>
      <c r="AF27" s="142"/>
      <c r="AG27" s="142"/>
      <c r="AH27" s="142"/>
      <c r="AI27" s="142"/>
      <c r="AJ27" s="142"/>
      <c r="AK27" s="142"/>
      <c r="AL27" s="142"/>
      <c r="AM27" s="142"/>
      <c r="AN27" s="142"/>
      <c r="AO27" s="142"/>
      <c r="AP27" s="142"/>
      <c r="AQ27" s="142"/>
      <c r="AR27" s="142"/>
      <c r="AS27" s="142"/>
    </row>
    <row r="28" spans="1:45" s="153" customFormat="1" x14ac:dyDescent="0.25">
      <c r="B28" s="159"/>
      <c r="C28" s="362" t="str">
        <f ca="1">R20</f>
        <v>22</v>
      </c>
      <c r="D28" s="363"/>
      <c r="E28" s="3"/>
      <c r="F28" s="362" t="str">
        <f ca="1">S20</f>
        <v>68</v>
      </c>
      <c r="G28" s="363"/>
      <c r="H28" s="3"/>
      <c r="I28" s="362" t="str">
        <f ca="1">T20</f>
        <v>67</v>
      </c>
      <c r="J28" s="363"/>
      <c r="K28" s="3"/>
      <c r="L28" s="362" t="str">
        <f ca="1">U20</f>
        <v>2D</v>
      </c>
      <c r="M28" s="363"/>
      <c r="N28" s="3"/>
      <c r="O28" s="3"/>
      <c r="P28" s="3"/>
      <c r="Q28" s="3"/>
      <c r="R28" s="3"/>
      <c r="S28" s="3"/>
      <c r="T28" s="3"/>
      <c r="U28" s="3"/>
      <c r="V28" s="160"/>
    </row>
    <row r="29" spans="1:45" x14ac:dyDescent="0.25">
      <c r="B29" s="159"/>
      <c r="C29" s="146" t="str">
        <f ca="1">LEFT(R20,1)&amp;"0"</f>
        <v>20</v>
      </c>
      <c r="D29" s="146" t="str">
        <f ca="1">"0"&amp;RIGHT(R20,1)</f>
        <v>02</v>
      </c>
      <c r="E29" s="3"/>
      <c r="F29" s="146" t="str">
        <f ca="1">LEFT(S20,1)&amp;"0"</f>
        <v>60</v>
      </c>
      <c r="G29" s="146" t="str">
        <f ca="1">"0"&amp;RIGHT(S20,1)</f>
        <v>08</v>
      </c>
      <c r="H29" s="3"/>
      <c r="I29" s="146" t="str">
        <f ca="1">LEFT(T20,1)&amp;"0"</f>
        <v>60</v>
      </c>
      <c r="J29" s="146" t="str">
        <f ca="1">"0"&amp;RIGHT(T20,1)</f>
        <v>07</v>
      </c>
      <c r="K29" s="3"/>
      <c r="L29" s="146" t="str">
        <f ca="1">LEFT(U20,1)&amp;"0"</f>
        <v>20</v>
      </c>
      <c r="M29" s="146" t="str">
        <f ca="1">"0"&amp;RIGHT(U20,1)</f>
        <v>0D</v>
      </c>
      <c r="N29" s="3"/>
      <c r="O29" s="3"/>
      <c r="P29" s="3"/>
      <c r="Q29" s="3"/>
      <c r="R29" s="3"/>
      <c r="S29" s="3"/>
      <c r="T29" s="3"/>
      <c r="U29" s="3"/>
      <c r="V29" s="160"/>
      <c r="X29" s="142"/>
      <c r="Y29" s="142"/>
      <c r="Z29" s="142"/>
      <c r="AA29" s="142"/>
      <c r="AB29" s="142"/>
      <c r="AC29" s="142"/>
      <c r="AD29" s="142"/>
      <c r="AE29" s="142"/>
      <c r="AF29" s="142"/>
      <c r="AG29" s="142"/>
      <c r="AH29" s="142"/>
      <c r="AI29" s="142"/>
      <c r="AJ29" s="142"/>
      <c r="AK29" s="142"/>
      <c r="AL29" s="142"/>
      <c r="AM29" s="142"/>
      <c r="AN29" s="142"/>
      <c r="AO29" s="142"/>
      <c r="AP29" s="142"/>
      <c r="AQ29" s="142"/>
      <c r="AR29" s="142"/>
      <c r="AS29" s="142"/>
    </row>
    <row r="30" spans="1:45" x14ac:dyDescent="0.25">
      <c r="B30" s="159"/>
      <c r="C30" s="78">
        <f ca="1">HEX2DEC(C29)</f>
        <v>32</v>
      </c>
      <c r="D30" s="78">
        <f ca="1">HEX2DEC(D29)</f>
        <v>2</v>
      </c>
      <c r="E30" s="139"/>
      <c r="F30" s="78">
        <f ca="1">HEX2DEC(F29)</f>
        <v>96</v>
      </c>
      <c r="G30" s="78">
        <f ca="1">HEX2DEC(G29)</f>
        <v>8</v>
      </c>
      <c r="H30" s="139"/>
      <c r="I30" s="78">
        <f ca="1">HEX2DEC(I29)</f>
        <v>96</v>
      </c>
      <c r="J30" s="78">
        <f ca="1">HEX2DEC(J29)</f>
        <v>7</v>
      </c>
      <c r="K30" s="139"/>
      <c r="L30" s="78">
        <f ca="1">HEX2DEC(L29)</f>
        <v>32</v>
      </c>
      <c r="M30" s="78">
        <f ca="1">HEX2DEC(M29)</f>
        <v>13</v>
      </c>
      <c r="N30" s="3"/>
      <c r="O30" s="3"/>
      <c r="P30" s="3"/>
      <c r="Q30" s="3"/>
      <c r="R30" s="3"/>
      <c r="S30" s="3"/>
      <c r="T30" s="3"/>
      <c r="U30" s="3"/>
      <c r="V30" s="160"/>
      <c r="X30" s="142"/>
      <c r="Y30" s="142"/>
      <c r="Z30" s="142"/>
      <c r="AA30" s="142"/>
      <c r="AB30" s="142"/>
      <c r="AC30" s="142"/>
      <c r="AD30" s="142"/>
      <c r="AE30" s="142"/>
      <c r="AF30" s="142"/>
      <c r="AG30" s="142"/>
      <c r="AH30" s="142"/>
      <c r="AI30" s="142"/>
      <c r="AJ30" s="142"/>
      <c r="AK30" s="142"/>
      <c r="AL30" s="142"/>
      <c r="AM30" s="142"/>
      <c r="AN30" s="142"/>
      <c r="AO30" s="142"/>
      <c r="AP30" s="142"/>
      <c r="AQ30" s="142"/>
      <c r="AR30" s="142"/>
      <c r="AS30" s="142"/>
    </row>
    <row r="31" spans="1:45" x14ac:dyDescent="0.25">
      <c r="B31" s="159"/>
      <c r="C31" s="28"/>
      <c r="D31" s="28"/>
      <c r="E31" s="3"/>
      <c r="F31" s="28"/>
      <c r="G31" s="28"/>
      <c r="H31" s="3"/>
      <c r="I31" s="28"/>
      <c r="J31" s="28"/>
      <c r="K31" s="3"/>
      <c r="L31" s="28"/>
      <c r="M31" s="28"/>
      <c r="N31" s="3"/>
      <c r="O31" s="3"/>
      <c r="P31" s="3"/>
      <c r="Q31" s="3"/>
      <c r="R31" s="3"/>
      <c r="S31" s="3"/>
      <c r="T31" s="3"/>
      <c r="U31" s="3"/>
      <c r="V31" s="160"/>
      <c r="X31" s="142"/>
      <c r="Y31" s="142"/>
      <c r="Z31" s="36"/>
      <c r="AA31" s="142"/>
      <c r="AB31" s="142"/>
      <c r="AC31" s="142"/>
      <c r="AD31" s="142"/>
      <c r="AE31" s="142"/>
      <c r="AF31" s="142"/>
      <c r="AG31" s="142"/>
      <c r="AH31" s="142"/>
      <c r="AI31" s="142"/>
      <c r="AJ31" s="142"/>
      <c r="AK31" s="36"/>
      <c r="AL31" s="142"/>
      <c r="AM31" s="142"/>
      <c r="AN31" s="142"/>
      <c r="AO31" s="142"/>
      <c r="AP31" s="142"/>
      <c r="AQ31" s="142"/>
      <c r="AR31" s="142"/>
      <c r="AS31" s="142"/>
    </row>
    <row r="32" spans="1:45" ht="15.75" thickBot="1" x14ac:dyDescent="0.3">
      <c r="B32" s="161" t="s">
        <v>255</v>
      </c>
      <c r="C32" s="337">
        <f ca="1">INDEX('AES S-box'!$D$23:$S$38,MATCH('Encryption Calculations'!C30,'AES S-box'!$C$23:$C$38,1),MATCH('Encryption Calculations'!D30,'AES S-box'!$D$22:$S$22,1))</f>
        <v>147</v>
      </c>
      <c r="D32" s="337"/>
      <c r="E32" s="3"/>
      <c r="F32" s="337">
        <f ca="1">INDEX('AES S-box'!$D$23:$S$38,MATCH('Encryption Calculations'!F30,'AES S-box'!$C$23:$C$38,1),MATCH('Encryption Calculations'!G30,'AES S-box'!$D$22:$S$22,1))</f>
        <v>69</v>
      </c>
      <c r="G32" s="337"/>
      <c r="H32" s="3"/>
      <c r="I32" s="337">
        <f ca="1">INDEX('AES S-box'!$D$23:$S$38,MATCH('Encryption Calculations'!I30,'AES S-box'!$C$23:$C$38,1),MATCH('Encryption Calculations'!J30,'AES S-box'!$D$22:$S$22,1))</f>
        <v>133</v>
      </c>
      <c r="J32" s="337"/>
      <c r="K32" s="3"/>
      <c r="L32" s="337">
        <f ca="1">INDEX('AES S-box'!$D$23:$S$38,MATCH('Encryption Calculations'!L30,'AES S-box'!$C$23:$C$38,1),MATCH('Encryption Calculations'!M30,'AES S-box'!$D$22:$S$22,1))</f>
        <v>216</v>
      </c>
      <c r="M32" s="337"/>
      <c r="N32" s="3"/>
      <c r="O32" s="3"/>
      <c r="P32" s="3"/>
      <c r="Q32" s="3"/>
      <c r="R32" s="3"/>
      <c r="S32" s="3"/>
      <c r="T32" s="3"/>
      <c r="U32" s="3"/>
      <c r="V32" s="160"/>
      <c r="X32" s="142"/>
      <c r="Y32" s="142"/>
      <c r="Z32" s="142"/>
      <c r="AA32" s="142"/>
      <c r="AB32" s="142"/>
      <c r="AC32" s="142"/>
      <c r="AD32" s="142"/>
      <c r="AE32" s="142"/>
      <c r="AF32" s="142"/>
      <c r="AG32" s="142"/>
      <c r="AH32" s="142"/>
      <c r="AI32" s="142"/>
      <c r="AJ32" s="142"/>
      <c r="AK32" s="142"/>
      <c r="AL32" s="142"/>
      <c r="AM32" s="142"/>
      <c r="AN32" s="142"/>
      <c r="AO32" s="142"/>
      <c r="AP32" s="142"/>
      <c r="AQ32" s="142"/>
      <c r="AR32" s="142"/>
      <c r="AS32" s="142"/>
    </row>
    <row r="33" spans="2:45" x14ac:dyDescent="0.25">
      <c r="B33" s="161" t="s">
        <v>90</v>
      </c>
      <c r="C33" s="339" t="str">
        <f ca="1">DEC2HEX(C32,2)</f>
        <v>93</v>
      </c>
      <c r="D33" s="339"/>
      <c r="E33" s="3"/>
      <c r="F33" s="339" t="str">
        <f ca="1">DEC2HEX(F32,2)</f>
        <v>45</v>
      </c>
      <c r="G33" s="339"/>
      <c r="H33" s="3"/>
      <c r="I33" s="339" t="str">
        <f ca="1">DEC2HEX(I32,2)</f>
        <v>85</v>
      </c>
      <c r="J33" s="339"/>
      <c r="K33" s="3"/>
      <c r="L33" s="339" t="str">
        <f ca="1">DEC2HEX(L32,2)</f>
        <v>D8</v>
      </c>
      <c r="M33" s="339"/>
      <c r="N33" s="3"/>
      <c r="O33" s="3"/>
      <c r="P33" s="3"/>
      <c r="Q33" s="3"/>
      <c r="R33" s="3"/>
      <c r="S33" s="3"/>
      <c r="T33" s="3"/>
      <c r="U33" s="3"/>
      <c r="V33" s="160"/>
      <c r="X33" s="142"/>
      <c r="Y33" s="142"/>
      <c r="Z33" s="142"/>
      <c r="AA33" s="142"/>
      <c r="AB33" s="142"/>
      <c r="AC33" s="142"/>
      <c r="AD33" s="142"/>
      <c r="AE33" s="142"/>
      <c r="AF33" s="142"/>
      <c r="AG33" s="142"/>
      <c r="AH33" s="142"/>
      <c r="AI33" s="142"/>
      <c r="AJ33" s="142"/>
      <c r="AK33" s="142"/>
      <c r="AL33" s="142"/>
      <c r="AM33" s="142"/>
      <c r="AN33" s="142"/>
      <c r="AO33" s="142"/>
      <c r="AP33" s="142"/>
      <c r="AQ33" s="142"/>
      <c r="AR33" s="142"/>
      <c r="AS33" s="142"/>
    </row>
    <row r="34" spans="2:45" x14ac:dyDescent="0.25">
      <c r="B34" s="161"/>
      <c r="C34" s="3"/>
      <c r="D34" s="3"/>
      <c r="E34" s="3"/>
      <c r="F34" s="3"/>
      <c r="G34" s="3"/>
      <c r="H34" s="3"/>
      <c r="I34" s="3"/>
      <c r="J34" s="3"/>
      <c r="K34" s="3"/>
      <c r="L34" s="3"/>
      <c r="M34" s="3"/>
      <c r="N34" s="3"/>
      <c r="O34" s="3"/>
      <c r="P34" s="3"/>
      <c r="Q34" s="3"/>
      <c r="R34" s="3"/>
      <c r="S34" s="3"/>
      <c r="T34" s="3"/>
      <c r="U34" s="3"/>
      <c r="V34" s="160"/>
      <c r="X34" s="142"/>
      <c r="Y34" s="142"/>
      <c r="Z34" s="142"/>
      <c r="AA34" s="142"/>
      <c r="AB34" s="142"/>
      <c r="AC34" s="142"/>
      <c r="AD34" s="142"/>
      <c r="AE34" s="142"/>
      <c r="AF34" s="142"/>
      <c r="AG34" s="142"/>
      <c r="AH34" s="142"/>
      <c r="AI34" s="142"/>
      <c r="AJ34" s="142"/>
      <c r="AK34" s="142"/>
      <c r="AL34" s="142"/>
      <c r="AM34" s="142"/>
      <c r="AN34" s="142"/>
      <c r="AO34" s="142"/>
      <c r="AP34" s="142"/>
      <c r="AQ34" s="142"/>
      <c r="AR34" s="142"/>
      <c r="AS34" s="142"/>
    </row>
    <row r="35" spans="2:45" x14ac:dyDescent="0.25">
      <c r="B35" s="161"/>
      <c r="C35" s="364" t="s">
        <v>27</v>
      </c>
      <c r="D35" s="364"/>
      <c r="E35" s="3"/>
      <c r="F35" s="364" t="s">
        <v>31</v>
      </c>
      <c r="G35" s="364"/>
      <c r="H35" s="3"/>
      <c r="I35" s="364" t="s">
        <v>35</v>
      </c>
      <c r="J35" s="364"/>
      <c r="K35" s="3"/>
      <c r="L35" s="364" t="s">
        <v>39</v>
      </c>
      <c r="M35" s="364"/>
      <c r="N35" s="3"/>
      <c r="O35" s="3"/>
      <c r="P35" s="3"/>
      <c r="Q35" s="3"/>
      <c r="R35" s="3"/>
      <c r="S35" s="3"/>
      <c r="T35" s="3"/>
      <c r="U35" s="3"/>
      <c r="V35" s="160"/>
      <c r="X35" s="142"/>
      <c r="Y35" s="142"/>
      <c r="Z35" s="142"/>
      <c r="AA35" s="142"/>
      <c r="AB35" s="142"/>
      <c r="AC35" s="142"/>
      <c r="AD35" s="142"/>
      <c r="AE35" s="142"/>
      <c r="AF35" s="142"/>
      <c r="AG35" s="142"/>
      <c r="AH35" s="142"/>
      <c r="AI35" s="142"/>
      <c r="AJ35" s="142"/>
      <c r="AK35" s="142"/>
      <c r="AL35" s="142"/>
      <c r="AM35" s="142"/>
      <c r="AN35" s="142"/>
      <c r="AO35" s="142"/>
      <c r="AP35" s="142"/>
      <c r="AQ35" s="142"/>
      <c r="AR35" s="142"/>
      <c r="AS35" s="142"/>
    </row>
    <row r="36" spans="2:45" s="153" customFormat="1" x14ac:dyDescent="0.25">
      <c r="B36" s="161"/>
      <c r="C36" s="362" t="str">
        <f ca="1">R21</f>
        <v>49</v>
      </c>
      <c r="D36" s="363"/>
      <c r="E36" s="3"/>
      <c r="F36" s="362" t="str">
        <f ca="1">S21</f>
        <v>6A</v>
      </c>
      <c r="G36" s="363"/>
      <c r="H36" s="3"/>
      <c r="I36" s="362" t="str">
        <f ca="1">T21</f>
        <v>7B</v>
      </c>
      <c r="J36" s="363"/>
      <c r="K36" s="3"/>
      <c r="L36" s="362" t="str">
        <f ca="1">U21</f>
        <v>2C</v>
      </c>
      <c r="M36" s="363"/>
      <c r="N36" s="3"/>
      <c r="O36" s="3"/>
      <c r="P36" s="3"/>
      <c r="Q36" s="3"/>
      <c r="R36" s="3"/>
      <c r="S36" s="3"/>
      <c r="T36" s="3"/>
      <c r="U36" s="3"/>
      <c r="V36" s="160"/>
    </row>
    <row r="37" spans="2:45" x14ac:dyDescent="0.25">
      <c r="B37" s="161"/>
      <c r="C37" s="146" t="str">
        <f ca="1">LEFT(R21,1)&amp;"0"</f>
        <v>40</v>
      </c>
      <c r="D37" s="146" t="str">
        <f ca="1">"0"&amp;RIGHT(R21,1)</f>
        <v>09</v>
      </c>
      <c r="E37" s="3"/>
      <c r="F37" s="146" t="str">
        <f ca="1">LEFT(S21,1)&amp;"0"</f>
        <v>60</v>
      </c>
      <c r="G37" s="146" t="str">
        <f ca="1">"0"&amp;RIGHT(S21,1)</f>
        <v>0A</v>
      </c>
      <c r="H37" s="3"/>
      <c r="I37" s="146" t="str">
        <f ca="1">LEFT(T21,1)&amp;"0"</f>
        <v>70</v>
      </c>
      <c r="J37" s="146" t="str">
        <f ca="1">"0"&amp;RIGHT(T21,1)</f>
        <v>0B</v>
      </c>
      <c r="K37" s="3"/>
      <c r="L37" s="146" t="str">
        <f ca="1">LEFT(U21,1)&amp;"0"</f>
        <v>20</v>
      </c>
      <c r="M37" s="146" t="str">
        <f ca="1">"0"&amp;RIGHT(U21,1)</f>
        <v>0C</v>
      </c>
      <c r="N37" s="3"/>
      <c r="O37" s="3"/>
      <c r="P37" s="3"/>
      <c r="Q37" s="3"/>
      <c r="R37" s="3"/>
      <c r="S37" s="3"/>
      <c r="T37" s="3"/>
      <c r="U37" s="3"/>
      <c r="V37" s="160"/>
      <c r="X37" s="142"/>
      <c r="Y37" s="142"/>
      <c r="Z37" s="142"/>
      <c r="AA37" s="142"/>
      <c r="AB37" s="142"/>
      <c r="AC37" s="142"/>
      <c r="AD37" s="142"/>
      <c r="AE37" s="142"/>
      <c r="AF37" s="142"/>
      <c r="AG37" s="142"/>
      <c r="AH37" s="142"/>
      <c r="AI37" s="142"/>
      <c r="AJ37" s="142"/>
      <c r="AK37" s="142"/>
      <c r="AL37" s="142"/>
      <c r="AM37" s="142"/>
      <c r="AN37" s="142"/>
      <c r="AO37" s="142"/>
      <c r="AP37" s="142"/>
      <c r="AQ37" s="142"/>
      <c r="AR37" s="142"/>
      <c r="AS37" s="142"/>
    </row>
    <row r="38" spans="2:45" x14ac:dyDescent="0.25">
      <c r="B38" s="161"/>
      <c r="C38" s="78">
        <f ca="1">HEX2DEC(C37)</f>
        <v>64</v>
      </c>
      <c r="D38" s="78">
        <f ca="1">HEX2DEC(D37)</f>
        <v>9</v>
      </c>
      <c r="E38" s="139"/>
      <c r="F38" s="78">
        <f ca="1">HEX2DEC(F37)</f>
        <v>96</v>
      </c>
      <c r="G38" s="78">
        <f ca="1">HEX2DEC(G37)</f>
        <v>10</v>
      </c>
      <c r="H38" s="139"/>
      <c r="I38" s="78">
        <f ca="1">HEX2DEC(I37)</f>
        <v>112</v>
      </c>
      <c r="J38" s="78">
        <f ca="1">HEX2DEC(J37)</f>
        <v>11</v>
      </c>
      <c r="K38" s="139"/>
      <c r="L38" s="78">
        <f ca="1">HEX2DEC(L37)</f>
        <v>32</v>
      </c>
      <c r="M38" s="78">
        <f ca="1">HEX2DEC(M37)</f>
        <v>12</v>
      </c>
      <c r="N38" s="3"/>
      <c r="O38" s="3"/>
      <c r="P38" s="3"/>
      <c r="Q38" s="3"/>
      <c r="R38" s="3"/>
      <c r="S38" s="3"/>
      <c r="T38" s="3"/>
      <c r="U38" s="3"/>
      <c r="V38" s="160"/>
      <c r="X38" s="142"/>
      <c r="Y38" s="142"/>
      <c r="Z38" s="142"/>
      <c r="AA38" s="142"/>
      <c r="AB38" s="142"/>
      <c r="AC38" s="142"/>
      <c r="AD38" s="142"/>
      <c r="AE38" s="142"/>
      <c r="AF38" s="142"/>
      <c r="AG38" s="142"/>
      <c r="AH38" s="142"/>
      <c r="AI38" s="142"/>
      <c r="AJ38" s="142"/>
      <c r="AK38" s="142"/>
      <c r="AL38" s="142"/>
      <c r="AM38" s="142"/>
      <c r="AN38" s="142"/>
      <c r="AO38" s="142"/>
      <c r="AP38" s="142"/>
      <c r="AQ38" s="142"/>
      <c r="AR38" s="142"/>
      <c r="AS38" s="142"/>
    </row>
    <row r="39" spans="2:45" x14ac:dyDescent="0.25">
      <c r="B39" s="161"/>
      <c r="C39" s="28"/>
      <c r="D39" s="28"/>
      <c r="E39" s="3"/>
      <c r="F39" s="28"/>
      <c r="G39" s="28"/>
      <c r="H39" s="3"/>
      <c r="I39" s="28"/>
      <c r="J39" s="28"/>
      <c r="K39" s="3"/>
      <c r="L39" s="28"/>
      <c r="M39" s="28"/>
      <c r="N39" s="3"/>
      <c r="O39" s="3"/>
      <c r="P39" s="3"/>
      <c r="Q39" s="3"/>
      <c r="R39" s="3"/>
      <c r="S39" s="3"/>
      <c r="T39" s="3"/>
      <c r="U39" s="3"/>
      <c r="V39" s="160"/>
      <c r="X39" s="142"/>
      <c r="Y39" s="142"/>
      <c r="Z39" s="142"/>
      <c r="AA39" s="142"/>
      <c r="AB39" s="142"/>
      <c r="AC39" s="142"/>
      <c r="AD39" s="142"/>
      <c r="AE39" s="142"/>
      <c r="AF39" s="142"/>
      <c r="AG39" s="142"/>
      <c r="AH39" s="142"/>
      <c r="AI39" s="142"/>
      <c r="AJ39" s="142"/>
      <c r="AK39" s="142"/>
      <c r="AL39" s="142"/>
      <c r="AM39" s="142"/>
      <c r="AN39" s="142"/>
      <c r="AO39" s="142"/>
      <c r="AP39" s="142"/>
      <c r="AQ39" s="142"/>
      <c r="AR39" s="142"/>
      <c r="AS39" s="142"/>
    </row>
    <row r="40" spans="2:45" ht="15.75" thickBot="1" x14ac:dyDescent="0.3">
      <c r="B40" s="161" t="s">
        <v>255</v>
      </c>
      <c r="C40" s="337">
        <f ca="1">INDEX('AES S-box'!$D$23:$S$38,MATCH('Encryption Calculations'!C38,'AES S-box'!$C$23:$C$38,1),MATCH('Encryption Calculations'!D38,'AES S-box'!$D$22:$S$22,1))</f>
        <v>59</v>
      </c>
      <c r="D40" s="337"/>
      <c r="E40" s="3"/>
      <c r="F40" s="337">
        <f ca="1">INDEX('AES S-box'!$D$23:$S$38,MATCH('Encryption Calculations'!F38,'AES S-box'!$C$23:$C$38,1),MATCH('Encryption Calculations'!G38,'AES S-box'!$D$22:$S$22,1))</f>
        <v>2</v>
      </c>
      <c r="G40" s="337"/>
      <c r="H40" s="3"/>
      <c r="I40" s="337">
        <f ca="1">INDEX('AES S-box'!$D$23:$S$38,MATCH('Encryption Calculations'!I38,'AES S-box'!$C$23:$C$38,1),MATCH('Encryption Calculations'!J38,'AES S-box'!$D$22:$S$22,1))</f>
        <v>33</v>
      </c>
      <c r="J40" s="337"/>
      <c r="K40" s="3"/>
      <c r="L40" s="337">
        <f ca="1">INDEX('AES S-box'!$D$23:$S$38,MATCH('Encryption Calculations'!L38,'AES S-box'!$C$23:$C$38,1),MATCH('Encryption Calculations'!M38,'AES S-box'!$D$22:$S$22,1))</f>
        <v>113</v>
      </c>
      <c r="M40" s="337"/>
      <c r="N40" s="3"/>
      <c r="O40" s="3"/>
      <c r="P40" s="3"/>
      <c r="Q40" s="3"/>
      <c r="R40" s="3"/>
      <c r="S40" s="3"/>
      <c r="T40" s="3"/>
      <c r="U40" s="3"/>
      <c r="V40" s="160"/>
      <c r="X40" s="142"/>
      <c r="Y40" s="142"/>
      <c r="Z40" s="142"/>
      <c r="AA40" s="142"/>
      <c r="AB40" s="142"/>
      <c r="AC40" s="142"/>
      <c r="AD40" s="142"/>
      <c r="AE40" s="142"/>
      <c r="AF40" s="142"/>
      <c r="AG40" s="142"/>
      <c r="AH40" s="142"/>
      <c r="AI40" s="142"/>
      <c r="AJ40" s="142"/>
      <c r="AK40" s="142"/>
      <c r="AL40" s="142"/>
      <c r="AM40" s="142"/>
      <c r="AN40" s="142"/>
      <c r="AO40" s="142"/>
      <c r="AP40" s="142"/>
      <c r="AQ40" s="142"/>
      <c r="AR40" s="142"/>
      <c r="AS40" s="142"/>
    </row>
    <row r="41" spans="2:45" x14ac:dyDescent="0.25">
      <c r="B41" s="161" t="s">
        <v>90</v>
      </c>
      <c r="C41" s="339" t="str">
        <f ca="1">DEC2HEX(C40,2)</f>
        <v>3B</v>
      </c>
      <c r="D41" s="339"/>
      <c r="E41" s="3"/>
      <c r="F41" s="339" t="str">
        <f ca="1">DEC2HEX(F40,2)</f>
        <v>02</v>
      </c>
      <c r="G41" s="339"/>
      <c r="H41" s="3"/>
      <c r="I41" s="339" t="str">
        <f ca="1">DEC2HEX(I40,2)</f>
        <v>21</v>
      </c>
      <c r="J41" s="339"/>
      <c r="K41" s="3"/>
      <c r="L41" s="339" t="str">
        <f ca="1">DEC2HEX(L40,2)</f>
        <v>71</v>
      </c>
      <c r="M41" s="339"/>
      <c r="N41" s="3"/>
      <c r="O41" s="3"/>
      <c r="P41" s="3"/>
      <c r="Q41" s="3"/>
      <c r="R41" s="3"/>
      <c r="S41" s="3"/>
      <c r="T41" s="3"/>
      <c r="U41" s="3"/>
      <c r="V41" s="160"/>
      <c r="X41" s="142"/>
      <c r="Y41" s="142"/>
      <c r="Z41" s="142"/>
      <c r="AA41" s="142"/>
      <c r="AB41" s="142"/>
      <c r="AC41" s="142"/>
      <c r="AD41" s="142"/>
      <c r="AE41" s="142"/>
      <c r="AF41" s="142"/>
      <c r="AG41" s="142"/>
      <c r="AH41" s="142"/>
      <c r="AI41" s="142"/>
      <c r="AJ41" s="142"/>
      <c r="AK41" s="142"/>
      <c r="AL41" s="142"/>
      <c r="AM41" s="142"/>
      <c r="AN41" s="142"/>
      <c r="AO41" s="142"/>
      <c r="AP41" s="142"/>
      <c r="AQ41" s="142"/>
      <c r="AR41" s="142"/>
      <c r="AS41" s="142"/>
    </row>
    <row r="42" spans="2:45" x14ac:dyDescent="0.25">
      <c r="B42" s="161"/>
      <c r="C42" s="3"/>
      <c r="D42" s="3"/>
      <c r="E42" s="3"/>
      <c r="F42" s="3"/>
      <c r="G42" s="3"/>
      <c r="H42" s="3"/>
      <c r="I42" s="3"/>
      <c r="J42" s="3"/>
      <c r="K42" s="3"/>
      <c r="L42" s="3"/>
      <c r="M42" s="3"/>
      <c r="N42" s="3"/>
      <c r="O42" s="3"/>
      <c r="P42" s="3"/>
      <c r="Q42" s="3"/>
      <c r="R42" s="3"/>
      <c r="S42" s="3"/>
      <c r="T42" s="3"/>
      <c r="U42" s="3"/>
      <c r="V42" s="160"/>
      <c r="X42" s="142"/>
      <c r="Y42" s="142"/>
      <c r="Z42" s="142"/>
      <c r="AA42" s="142"/>
      <c r="AB42" s="142"/>
      <c r="AC42" s="142"/>
      <c r="AD42" s="142"/>
      <c r="AE42" s="142"/>
      <c r="AF42" s="142"/>
      <c r="AG42" s="142"/>
      <c r="AH42" s="142"/>
      <c r="AI42" s="142"/>
      <c r="AJ42" s="142"/>
      <c r="AK42" s="142"/>
      <c r="AL42" s="142"/>
      <c r="AM42" s="142"/>
      <c r="AN42" s="142"/>
      <c r="AO42" s="142"/>
      <c r="AP42" s="142"/>
      <c r="AQ42" s="142"/>
      <c r="AR42" s="142"/>
      <c r="AS42" s="142"/>
    </row>
    <row r="43" spans="2:45" x14ac:dyDescent="0.25">
      <c r="B43" s="161"/>
      <c r="C43" s="364" t="s">
        <v>28</v>
      </c>
      <c r="D43" s="364"/>
      <c r="E43" s="3"/>
      <c r="F43" s="364" t="s">
        <v>32</v>
      </c>
      <c r="G43" s="364"/>
      <c r="H43" s="3"/>
      <c r="I43" s="364" t="s">
        <v>36</v>
      </c>
      <c r="J43" s="364"/>
      <c r="K43" s="3"/>
      <c r="L43" s="364" t="s">
        <v>40</v>
      </c>
      <c r="M43" s="364"/>
      <c r="N43" s="3"/>
      <c r="O43" s="3"/>
      <c r="P43" s="3"/>
      <c r="Q43" s="3"/>
      <c r="R43" s="3"/>
      <c r="S43" s="3"/>
      <c r="T43" s="3"/>
      <c r="U43" s="3"/>
      <c r="V43" s="160"/>
      <c r="X43" s="142"/>
      <c r="Y43" s="142"/>
      <c r="Z43" s="142"/>
      <c r="AA43" s="142"/>
      <c r="AB43" s="142"/>
      <c r="AC43" s="142"/>
      <c r="AD43" s="142"/>
      <c r="AE43" s="142"/>
      <c r="AF43" s="142"/>
      <c r="AG43" s="142"/>
      <c r="AH43" s="142"/>
      <c r="AI43" s="142"/>
      <c r="AJ43" s="142"/>
      <c r="AK43" s="142"/>
      <c r="AL43" s="142"/>
      <c r="AM43" s="142"/>
      <c r="AN43" s="142"/>
      <c r="AO43" s="142"/>
      <c r="AP43" s="142"/>
      <c r="AQ43" s="142"/>
      <c r="AR43" s="142"/>
      <c r="AS43" s="142"/>
    </row>
    <row r="44" spans="2:45" s="153" customFormat="1" x14ac:dyDescent="0.25">
      <c r="B44" s="161"/>
      <c r="C44" s="362" t="str">
        <f ca="1">R22</f>
        <v>67</v>
      </c>
      <c r="D44" s="363"/>
      <c r="E44" s="3"/>
      <c r="F44" s="362" t="str">
        <f ca="1">S22</f>
        <v>26</v>
      </c>
      <c r="G44" s="363"/>
      <c r="H44" s="3"/>
      <c r="I44" s="362" t="str">
        <f ca="1">T22</f>
        <v>66</v>
      </c>
      <c r="J44" s="363"/>
      <c r="K44" s="3"/>
      <c r="L44" s="362" t="str">
        <f ca="1">U22</f>
        <v>2F</v>
      </c>
      <c r="M44" s="363"/>
      <c r="N44" s="3"/>
      <c r="O44" s="3"/>
      <c r="P44" s="3"/>
      <c r="Q44" s="3"/>
      <c r="R44" s="3"/>
      <c r="S44" s="3"/>
      <c r="T44" s="3"/>
      <c r="U44" s="3"/>
      <c r="V44" s="160"/>
    </row>
    <row r="45" spans="2:45" x14ac:dyDescent="0.25">
      <c r="B45" s="161"/>
      <c r="C45" s="146" t="str">
        <f ca="1">LEFT(R22,1)&amp;"0"</f>
        <v>60</v>
      </c>
      <c r="D45" s="146" t="str">
        <f ca="1">"0"&amp;RIGHT(R22,1)</f>
        <v>07</v>
      </c>
      <c r="E45" s="3"/>
      <c r="F45" s="146" t="str">
        <f ca="1">LEFT(S22,1)&amp;"0"</f>
        <v>20</v>
      </c>
      <c r="G45" s="146" t="str">
        <f ca="1">"0"&amp;RIGHT(S22,1)</f>
        <v>06</v>
      </c>
      <c r="H45" s="3"/>
      <c r="I45" s="146" t="str">
        <f ca="1">LEFT(T22,1)&amp;"0"</f>
        <v>60</v>
      </c>
      <c r="J45" s="146" t="str">
        <f ca="1">"0"&amp;RIGHT(T22,1)</f>
        <v>06</v>
      </c>
      <c r="K45" s="3"/>
      <c r="L45" s="146" t="str">
        <f ca="1">LEFT(U22,1)&amp;"0"</f>
        <v>20</v>
      </c>
      <c r="M45" s="146" t="str">
        <f ca="1">"0"&amp;RIGHT(U22,1)</f>
        <v>0F</v>
      </c>
      <c r="N45" s="3"/>
      <c r="O45" s="3"/>
      <c r="P45" s="3"/>
      <c r="Q45" s="3"/>
      <c r="R45" s="3"/>
      <c r="S45" s="3"/>
      <c r="T45" s="3"/>
      <c r="U45" s="3"/>
      <c r="V45" s="160"/>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row>
    <row r="46" spans="2:45" x14ac:dyDescent="0.25">
      <c r="B46" s="161"/>
      <c r="C46" s="78">
        <f ca="1">HEX2DEC(C45)</f>
        <v>96</v>
      </c>
      <c r="D46" s="78">
        <f ca="1">HEX2DEC(D45)</f>
        <v>7</v>
      </c>
      <c r="E46" s="139"/>
      <c r="F46" s="78">
        <f ca="1">HEX2DEC(F45)</f>
        <v>32</v>
      </c>
      <c r="G46" s="78">
        <f ca="1">HEX2DEC(G45)</f>
        <v>6</v>
      </c>
      <c r="H46" s="139"/>
      <c r="I46" s="78">
        <f ca="1">HEX2DEC(I45)</f>
        <v>96</v>
      </c>
      <c r="J46" s="78">
        <f ca="1">HEX2DEC(J45)</f>
        <v>6</v>
      </c>
      <c r="K46" s="139"/>
      <c r="L46" s="78">
        <f ca="1">HEX2DEC(L45)</f>
        <v>32</v>
      </c>
      <c r="M46" s="78">
        <f ca="1">HEX2DEC(M45)</f>
        <v>15</v>
      </c>
      <c r="N46" s="3"/>
      <c r="O46" s="3"/>
      <c r="P46" s="3"/>
      <c r="Q46" s="3"/>
      <c r="R46" s="3"/>
      <c r="S46" s="3"/>
      <c r="T46" s="3"/>
      <c r="U46" s="3"/>
      <c r="V46" s="160"/>
      <c r="X46" s="142"/>
      <c r="Y46" s="142"/>
      <c r="Z46" s="142"/>
      <c r="AA46" s="142"/>
      <c r="AB46" s="142"/>
      <c r="AC46" s="142"/>
      <c r="AD46" s="142"/>
      <c r="AE46" s="142"/>
      <c r="AF46" s="142"/>
      <c r="AG46" s="142"/>
      <c r="AH46" s="142"/>
      <c r="AI46" s="142"/>
      <c r="AJ46" s="142"/>
      <c r="AK46" s="142"/>
      <c r="AL46" s="142"/>
      <c r="AM46" s="142"/>
      <c r="AN46" s="142"/>
      <c r="AO46" s="142"/>
      <c r="AP46" s="142"/>
      <c r="AQ46" s="142"/>
      <c r="AR46" s="142"/>
      <c r="AS46" s="142"/>
    </row>
    <row r="47" spans="2:45" x14ac:dyDescent="0.25">
      <c r="B47" s="161"/>
      <c r="C47" s="28"/>
      <c r="D47" s="28"/>
      <c r="E47" s="3"/>
      <c r="F47" s="28"/>
      <c r="G47" s="28"/>
      <c r="H47" s="3"/>
      <c r="I47" s="28"/>
      <c r="J47" s="28"/>
      <c r="K47" s="3"/>
      <c r="L47" s="28"/>
      <c r="M47" s="28"/>
      <c r="N47" s="3"/>
      <c r="O47" s="3"/>
      <c r="P47" s="3"/>
      <c r="Q47" s="3"/>
      <c r="R47" s="3"/>
      <c r="S47" s="3"/>
      <c r="T47" s="3"/>
      <c r="U47" s="3"/>
      <c r="V47" s="160"/>
      <c r="X47" s="142"/>
      <c r="Y47" s="142"/>
      <c r="Z47" s="142"/>
      <c r="AA47" s="142"/>
      <c r="AB47" s="142"/>
      <c r="AC47" s="142"/>
      <c r="AD47" s="142"/>
      <c r="AE47" s="142"/>
      <c r="AF47" s="142"/>
      <c r="AG47" s="142"/>
      <c r="AH47" s="142"/>
      <c r="AI47" s="142"/>
      <c r="AJ47" s="142"/>
      <c r="AK47" s="142"/>
      <c r="AL47" s="142"/>
      <c r="AM47" s="142"/>
      <c r="AN47" s="142"/>
      <c r="AO47" s="142"/>
      <c r="AP47" s="142"/>
      <c r="AQ47" s="142"/>
      <c r="AR47" s="142"/>
      <c r="AS47" s="142"/>
    </row>
    <row r="48" spans="2:45" ht="15.75" thickBot="1" x14ac:dyDescent="0.3">
      <c r="B48" s="161" t="s">
        <v>255</v>
      </c>
      <c r="C48" s="337">
        <f ca="1">INDEX('AES S-box'!$D$23:$S$38,MATCH('Encryption Calculations'!C46,'AES S-box'!$C$23:$C$38,1),MATCH('Encryption Calculations'!D46,'AES S-box'!$D$22:$S$22,1))</f>
        <v>133</v>
      </c>
      <c r="D48" s="337"/>
      <c r="E48" s="3"/>
      <c r="F48" s="337">
        <f ca="1">INDEX('AES S-box'!$D$23:$S$38,MATCH('Encryption Calculations'!F46,'AES S-box'!$C$23:$C$38,1),MATCH('Encryption Calculations'!G46,'AES S-box'!$D$22:$S$22,1))</f>
        <v>247</v>
      </c>
      <c r="G48" s="337"/>
      <c r="H48" s="3"/>
      <c r="I48" s="337">
        <f ca="1">INDEX('AES S-box'!$D$23:$S$38,MATCH('Encryption Calculations'!I46,'AES S-box'!$C$23:$C$38,1),MATCH('Encryption Calculations'!J46,'AES S-box'!$D$22:$S$22,1))</f>
        <v>51</v>
      </c>
      <c r="J48" s="337"/>
      <c r="K48" s="3"/>
      <c r="L48" s="337">
        <f ca="1">INDEX('AES S-box'!$D$23:$S$38,MATCH('Encryption Calculations'!L46,'AES S-box'!$C$23:$C$38,1),MATCH('Encryption Calculations'!M46,'AES S-box'!$D$22:$S$22,1))</f>
        <v>21</v>
      </c>
      <c r="M48" s="337"/>
      <c r="N48" s="3"/>
      <c r="O48" s="3"/>
      <c r="P48" s="3"/>
      <c r="Q48" s="3"/>
      <c r="R48" s="3"/>
      <c r="S48" s="3"/>
      <c r="T48" s="3"/>
      <c r="U48" s="3"/>
      <c r="V48" s="160"/>
      <c r="X48" s="142"/>
      <c r="Y48" s="142"/>
      <c r="Z48" s="142"/>
      <c r="AA48" s="142"/>
      <c r="AB48" s="142"/>
      <c r="AC48" s="142"/>
      <c r="AD48" s="142"/>
      <c r="AE48" s="142"/>
      <c r="AF48" s="142"/>
      <c r="AG48" s="142"/>
      <c r="AH48" s="142"/>
      <c r="AI48" s="142"/>
      <c r="AJ48" s="142"/>
      <c r="AK48" s="142"/>
      <c r="AL48" s="142"/>
      <c r="AM48" s="142"/>
      <c r="AN48" s="142"/>
      <c r="AO48" s="142"/>
      <c r="AP48" s="142"/>
      <c r="AQ48" s="142"/>
      <c r="AR48" s="142"/>
      <c r="AS48" s="142"/>
    </row>
    <row r="49" spans="2:45" x14ac:dyDescent="0.25">
      <c r="B49" s="161" t="s">
        <v>90</v>
      </c>
      <c r="C49" s="339" t="str">
        <f ca="1">DEC2HEX(C48,2)</f>
        <v>85</v>
      </c>
      <c r="D49" s="339"/>
      <c r="E49" s="3"/>
      <c r="F49" s="339" t="str">
        <f ca="1">DEC2HEX(F48,2)</f>
        <v>F7</v>
      </c>
      <c r="G49" s="339"/>
      <c r="H49" s="3"/>
      <c r="I49" s="339" t="str">
        <f ca="1">DEC2HEX(I48,2)</f>
        <v>33</v>
      </c>
      <c r="J49" s="339"/>
      <c r="K49" s="3"/>
      <c r="L49" s="339" t="str">
        <f ca="1">DEC2HEX(L48,2)</f>
        <v>15</v>
      </c>
      <c r="M49" s="339"/>
      <c r="N49" s="3"/>
      <c r="O49" s="3"/>
      <c r="P49" s="3"/>
      <c r="Q49" s="3"/>
      <c r="R49" s="3"/>
      <c r="S49" s="3"/>
      <c r="T49" s="3"/>
      <c r="U49" s="3"/>
      <c r="V49" s="160"/>
      <c r="X49" s="142"/>
      <c r="Y49" s="142"/>
      <c r="Z49" s="142"/>
      <c r="AA49" s="142"/>
      <c r="AB49" s="142"/>
      <c r="AC49" s="142"/>
      <c r="AD49" s="142"/>
      <c r="AE49" s="142"/>
      <c r="AF49" s="142"/>
      <c r="AG49" s="142"/>
      <c r="AH49" s="142"/>
      <c r="AI49" s="142"/>
      <c r="AJ49" s="142"/>
      <c r="AK49" s="142"/>
      <c r="AL49" s="142"/>
      <c r="AM49" s="142"/>
      <c r="AN49" s="142"/>
      <c r="AO49" s="142"/>
      <c r="AP49" s="142"/>
      <c r="AQ49" s="142"/>
      <c r="AR49" s="142"/>
      <c r="AS49" s="142"/>
    </row>
    <row r="50" spans="2:45" x14ac:dyDescent="0.25">
      <c r="B50" s="161"/>
      <c r="C50" s="3"/>
      <c r="D50" s="3"/>
      <c r="E50" s="3"/>
      <c r="F50" s="3"/>
      <c r="G50" s="3"/>
      <c r="H50" s="3"/>
      <c r="I50" s="3"/>
      <c r="J50" s="3"/>
      <c r="K50" s="3"/>
      <c r="L50" s="3"/>
      <c r="M50" s="3"/>
      <c r="N50" s="3"/>
      <c r="O50" s="3"/>
      <c r="P50" s="3"/>
      <c r="Q50" s="3"/>
      <c r="R50" s="3"/>
      <c r="S50" s="3"/>
      <c r="T50" s="3"/>
      <c r="U50" s="3"/>
      <c r="V50" s="160"/>
      <c r="X50" s="142"/>
      <c r="Y50" s="142"/>
      <c r="Z50" s="142"/>
      <c r="AA50" s="142"/>
      <c r="AB50" s="142"/>
      <c r="AC50" s="142"/>
      <c r="AD50" s="142"/>
      <c r="AE50" s="142"/>
      <c r="AF50" s="142"/>
      <c r="AG50" s="142"/>
      <c r="AH50" s="142"/>
      <c r="AI50" s="142"/>
      <c r="AJ50" s="142"/>
      <c r="AK50" s="142"/>
      <c r="AL50" s="142"/>
      <c r="AM50" s="142"/>
      <c r="AN50" s="142"/>
      <c r="AO50" s="142"/>
      <c r="AP50" s="142"/>
      <c r="AQ50" s="142"/>
      <c r="AR50" s="142"/>
      <c r="AS50" s="142"/>
    </row>
    <row r="51" spans="2:45" x14ac:dyDescent="0.25">
      <c r="B51" s="161"/>
      <c r="C51" s="3"/>
      <c r="D51" s="3"/>
      <c r="E51" s="3"/>
      <c r="F51" s="3"/>
      <c r="G51" s="3"/>
      <c r="H51" s="3"/>
      <c r="I51" s="3"/>
      <c r="J51" s="3"/>
      <c r="K51" s="3"/>
      <c r="L51" s="3"/>
      <c r="M51" s="3"/>
      <c r="N51" s="3"/>
      <c r="O51" s="3"/>
      <c r="P51" s="3"/>
      <c r="Q51" s="3"/>
      <c r="R51" s="3"/>
      <c r="S51" s="3"/>
      <c r="T51" s="3"/>
      <c r="U51" s="3"/>
      <c r="V51" s="160"/>
      <c r="X51" s="142"/>
      <c r="Y51" s="142"/>
      <c r="Z51" s="142"/>
      <c r="AA51" s="142"/>
      <c r="AB51" s="142"/>
      <c r="AC51" s="142"/>
      <c r="AD51" s="142"/>
      <c r="AE51" s="142"/>
      <c r="AF51" s="142"/>
      <c r="AG51" s="142"/>
      <c r="AH51" s="142"/>
      <c r="AI51" s="142"/>
      <c r="AJ51" s="142"/>
      <c r="AK51" s="142"/>
      <c r="AL51" s="142"/>
      <c r="AM51" s="142"/>
      <c r="AN51" s="142"/>
      <c r="AO51" s="142"/>
      <c r="AP51" s="142"/>
      <c r="AQ51" s="142"/>
      <c r="AR51" s="142"/>
      <c r="AS51" s="142"/>
    </row>
    <row r="52" spans="2:45" x14ac:dyDescent="0.25">
      <c r="B52" s="161"/>
      <c r="C52" s="364" t="s">
        <v>29</v>
      </c>
      <c r="D52" s="364"/>
      <c r="E52" s="3"/>
      <c r="F52" s="364" t="s">
        <v>33</v>
      </c>
      <c r="G52" s="364"/>
      <c r="H52" s="3"/>
      <c r="I52" s="364" t="s">
        <v>37</v>
      </c>
      <c r="J52" s="364"/>
      <c r="K52" s="3"/>
      <c r="L52" s="364" t="s">
        <v>41</v>
      </c>
      <c r="M52" s="364"/>
      <c r="N52" s="3"/>
      <c r="O52" s="3"/>
      <c r="P52" s="3"/>
      <c r="Q52" s="3"/>
      <c r="R52" s="3"/>
      <c r="S52" s="3"/>
      <c r="T52" s="3"/>
      <c r="U52" s="3"/>
      <c r="V52" s="160"/>
      <c r="X52" s="142"/>
      <c r="Y52" s="142"/>
      <c r="Z52" s="142"/>
      <c r="AA52" s="142"/>
      <c r="AB52" s="142"/>
      <c r="AC52" s="142"/>
      <c r="AD52" s="142"/>
      <c r="AE52" s="142"/>
      <c r="AF52" s="142"/>
      <c r="AG52" s="142"/>
      <c r="AH52" s="142"/>
      <c r="AI52" s="142"/>
      <c r="AJ52" s="142"/>
      <c r="AK52" s="142"/>
      <c r="AL52" s="142"/>
      <c r="AM52" s="142"/>
      <c r="AN52" s="142"/>
      <c r="AO52" s="142"/>
      <c r="AP52" s="142"/>
      <c r="AQ52" s="142"/>
      <c r="AR52" s="142"/>
      <c r="AS52" s="142"/>
    </row>
    <row r="53" spans="2:45" s="153" customFormat="1" x14ac:dyDescent="0.25">
      <c r="B53" s="161"/>
      <c r="C53" s="362" t="str">
        <f ca="1">R23</f>
        <v>6F</v>
      </c>
      <c r="D53" s="363"/>
      <c r="E53" s="3"/>
      <c r="F53" s="362" t="str">
        <f ca="1">S23</f>
        <v>50</v>
      </c>
      <c r="G53" s="363"/>
      <c r="H53" s="3"/>
      <c r="I53" s="362" t="str">
        <f ca="1">T23</f>
        <v>6F</v>
      </c>
      <c r="J53" s="363"/>
      <c r="K53" s="3"/>
      <c r="L53" s="362" t="str">
        <f ca="1">U23</f>
        <v>2D</v>
      </c>
      <c r="M53" s="363"/>
      <c r="N53" s="3"/>
      <c r="O53" s="3"/>
      <c r="P53" s="3"/>
      <c r="Q53" s="3"/>
      <c r="R53" s="3"/>
      <c r="S53" s="3"/>
      <c r="T53" s="3"/>
      <c r="U53" s="3"/>
      <c r="V53" s="160"/>
    </row>
    <row r="54" spans="2:45" x14ac:dyDescent="0.25">
      <c r="B54" s="161"/>
      <c r="C54" s="146" t="str">
        <f ca="1">LEFT(R23,1)&amp;"0"</f>
        <v>60</v>
      </c>
      <c r="D54" s="146" t="str">
        <f ca="1">"0"&amp;RIGHT(R23,1)</f>
        <v>0F</v>
      </c>
      <c r="E54" s="3"/>
      <c r="F54" s="146" t="str">
        <f ca="1">LEFT(S23,1)&amp;"0"</f>
        <v>50</v>
      </c>
      <c r="G54" s="146" t="str">
        <f ca="1">"0"&amp;RIGHT(S23,1)</f>
        <v>00</v>
      </c>
      <c r="H54" s="3"/>
      <c r="I54" s="146" t="str">
        <f ca="1">LEFT(T23,1)&amp;"0"</f>
        <v>60</v>
      </c>
      <c r="J54" s="146" t="str">
        <f ca="1">"0"&amp;RIGHT(T23,1)</f>
        <v>0F</v>
      </c>
      <c r="K54" s="3"/>
      <c r="L54" s="146" t="str">
        <f ca="1">LEFT(U23,1)&amp;"0"</f>
        <v>20</v>
      </c>
      <c r="M54" s="146" t="str">
        <f ca="1">"0"&amp;RIGHT(U23,1)</f>
        <v>0D</v>
      </c>
      <c r="N54" s="3"/>
      <c r="O54" s="3"/>
      <c r="P54" s="3"/>
      <c r="Q54" s="3"/>
      <c r="R54" s="3"/>
      <c r="S54" s="3"/>
      <c r="T54" s="3"/>
      <c r="U54" s="3"/>
      <c r="V54" s="160"/>
      <c r="X54" s="142"/>
      <c r="Y54" s="142"/>
      <c r="Z54" s="142"/>
      <c r="AA54" s="142"/>
      <c r="AB54" s="142"/>
      <c r="AC54" s="142"/>
      <c r="AD54" s="142"/>
      <c r="AE54" s="142"/>
      <c r="AF54" s="142"/>
      <c r="AG54" s="142"/>
      <c r="AH54" s="142"/>
      <c r="AI54" s="142"/>
      <c r="AJ54" s="142"/>
      <c r="AK54" s="142"/>
      <c r="AL54" s="142"/>
      <c r="AM54" s="142"/>
      <c r="AN54" s="142"/>
      <c r="AO54" s="142"/>
      <c r="AP54" s="142"/>
      <c r="AQ54" s="142"/>
      <c r="AR54" s="142"/>
      <c r="AS54" s="142"/>
    </row>
    <row r="55" spans="2:45" x14ac:dyDescent="0.25">
      <c r="B55" s="161"/>
      <c r="C55" s="78">
        <f ca="1">HEX2DEC(C54)</f>
        <v>96</v>
      </c>
      <c r="D55" s="78">
        <f ca="1">HEX2DEC(D54)</f>
        <v>15</v>
      </c>
      <c r="E55" s="139"/>
      <c r="F55" s="78">
        <f ca="1">HEX2DEC(F54)</f>
        <v>80</v>
      </c>
      <c r="G55" s="78">
        <f ca="1">HEX2DEC(G54)</f>
        <v>0</v>
      </c>
      <c r="H55" s="139"/>
      <c r="I55" s="78">
        <f ca="1">HEX2DEC(I54)</f>
        <v>96</v>
      </c>
      <c r="J55" s="78">
        <f ca="1">HEX2DEC(J54)</f>
        <v>15</v>
      </c>
      <c r="K55" s="139"/>
      <c r="L55" s="78">
        <f ca="1">HEX2DEC(L54)</f>
        <v>32</v>
      </c>
      <c r="M55" s="78">
        <f ca="1">HEX2DEC(M54)</f>
        <v>13</v>
      </c>
      <c r="N55" s="3"/>
      <c r="O55" s="3"/>
      <c r="P55" s="3"/>
      <c r="Q55" s="3"/>
      <c r="R55" s="3"/>
      <c r="S55" s="3"/>
      <c r="T55" s="3"/>
      <c r="U55" s="3"/>
      <c r="V55" s="160"/>
      <c r="X55" s="142"/>
      <c r="Y55" s="142"/>
      <c r="Z55" s="142"/>
      <c r="AA55" s="142"/>
      <c r="AB55" s="142"/>
      <c r="AC55" s="142"/>
      <c r="AD55" s="142"/>
      <c r="AE55" s="142"/>
      <c r="AF55" s="142"/>
      <c r="AG55" s="142"/>
      <c r="AH55" s="142"/>
      <c r="AI55" s="142"/>
      <c r="AJ55" s="142"/>
      <c r="AK55" s="142"/>
      <c r="AL55" s="142"/>
      <c r="AM55" s="142"/>
      <c r="AN55" s="142"/>
      <c r="AO55" s="142"/>
      <c r="AP55" s="142"/>
      <c r="AQ55" s="142"/>
      <c r="AR55" s="142"/>
      <c r="AS55" s="142"/>
    </row>
    <row r="56" spans="2:45" x14ac:dyDescent="0.25">
      <c r="B56" s="161"/>
      <c r="C56" s="3"/>
      <c r="D56" s="3"/>
      <c r="E56" s="3"/>
      <c r="F56" s="3"/>
      <c r="G56" s="3"/>
      <c r="H56" s="3"/>
      <c r="I56" s="3"/>
      <c r="J56" s="3"/>
      <c r="K56" s="3"/>
      <c r="L56" s="3"/>
      <c r="M56" s="3"/>
      <c r="N56" s="3"/>
      <c r="O56" s="3"/>
      <c r="P56" s="3"/>
      <c r="Q56" s="3"/>
      <c r="R56" s="3"/>
      <c r="S56" s="3"/>
      <c r="T56" s="3"/>
      <c r="U56" s="3"/>
      <c r="V56" s="160"/>
      <c r="X56" s="142"/>
      <c r="Y56" s="142"/>
      <c r="Z56" s="142"/>
      <c r="AA56" s="142"/>
      <c r="AB56" s="142"/>
      <c r="AC56" s="142"/>
      <c r="AD56" s="142"/>
      <c r="AE56" s="142"/>
      <c r="AF56" s="142"/>
      <c r="AG56" s="142"/>
      <c r="AH56" s="142"/>
      <c r="AI56" s="142"/>
      <c r="AJ56" s="142"/>
      <c r="AK56" s="142"/>
      <c r="AL56" s="142"/>
      <c r="AM56" s="142"/>
      <c r="AN56" s="142"/>
      <c r="AO56" s="142"/>
      <c r="AP56" s="142"/>
      <c r="AQ56" s="142"/>
      <c r="AR56" s="142"/>
      <c r="AS56" s="142"/>
    </row>
    <row r="57" spans="2:45" ht="15.75" thickBot="1" x14ac:dyDescent="0.3">
      <c r="B57" s="161" t="s">
        <v>255</v>
      </c>
      <c r="C57" s="337">
        <f ca="1">INDEX('AES S-box'!$D$23:$S$38,MATCH('Encryption Calculations'!C55,'AES S-box'!$C$23:$C$38,1),MATCH('Encryption Calculations'!D55,'AES S-box'!$D$22:$S$22,1))</f>
        <v>168</v>
      </c>
      <c r="D57" s="337"/>
      <c r="E57" s="3"/>
      <c r="F57" s="337">
        <f ca="1">INDEX('AES S-box'!$D$23:$S$38,MATCH('Encryption Calculations'!F55,'AES S-box'!$C$23:$C$38,1),MATCH('Encryption Calculations'!G55,'AES S-box'!$D$22:$S$22,1))</f>
        <v>83</v>
      </c>
      <c r="G57" s="337"/>
      <c r="H57" s="3"/>
      <c r="I57" s="337">
        <f ca="1">INDEX('AES S-box'!$D$23:$S$38,MATCH('Encryption Calculations'!I55,'AES S-box'!$C$23:$C$38,1),MATCH('Encryption Calculations'!J55,'AES S-box'!$D$22:$S$22,1))</f>
        <v>168</v>
      </c>
      <c r="J57" s="337"/>
      <c r="K57" s="3"/>
      <c r="L57" s="337">
        <f ca="1">INDEX('AES S-box'!$D$23:$S$38,MATCH('Encryption Calculations'!L55,'AES S-box'!$C$23:$C$38,1),MATCH('Encryption Calculations'!M55,'AES S-box'!$D$22:$S$22,1))</f>
        <v>216</v>
      </c>
      <c r="M57" s="337"/>
      <c r="N57" s="3"/>
      <c r="O57" s="3"/>
      <c r="P57" s="3"/>
      <c r="Q57" s="3"/>
      <c r="R57" s="3"/>
      <c r="S57" s="3"/>
      <c r="T57" s="3"/>
      <c r="U57" s="3"/>
      <c r="V57" s="160"/>
      <c r="X57" s="142"/>
      <c r="Y57" s="142"/>
      <c r="Z57" s="142"/>
      <c r="AA57" s="142"/>
      <c r="AB57" s="142"/>
      <c r="AC57" s="142"/>
      <c r="AD57" s="142"/>
      <c r="AE57" s="142"/>
      <c r="AF57" s="142"/>
      <c r="AG57" s="142"/>
      <c r="AH57" s="142"/>
      <c r="AI57" s="142"/>
      <c r="AJ57" s="142"/>
      <c r="AK57" s="142"/>
      <c r="AL57" s="142"/>
      <c r="AM57" s="142"/>
      <c r="AN57" s="142"/>
      <c r="AO57" s="142"/>
      <c r="AP57" s="142"/>
      <c r="AQ57" s="142"/>
      <c r="AR57" s="142"/>
      <c r="AS57" s="142"/>
    </row>
    <row r="58" spans="2:45" x14ac:dyDescent="0.25">
      <c r="B58" s="161" t="s">
        <v>90</v>
      </c>
      <c r="C58" s="339" t="str">
        <f ca="1">DEC2HEX(C57,2)</f>
        <v>A8</v>
      </c>
      <c r="D58" s="339"/>
      <c r="E58" s="3"/>
      <c r="F58" s="339" t="str">
        <f ca="1">DEC2HEX(F57,2)</f>
        <v>53</v>
      </c>
      <c r="G58" s="339"/>
      <c r="H58" s="3"/>
      <c r="I58" s="339" t="str">
        <f ca="1">DEC2HEX(I57,2)</f>
        <v>A8</v>
      </c>
      <c r="J58" s="339"/>
      <c r="K58" s="3"/>
      <c r="L58" s="339" t="str">
        <f ca="1">DEC2HEX(L57,2)</f>
        <v>D8</v>
      </c>
      <c r="M58" s="339"/>
      <c r="N58" s="3"/>
      <c r="O58" s="3"/>
      <c r="P58" s="3"/>
      <c r="Q58" s="3"/>
      <c r="R58" s="3"/>
      <c r="S58" s="3"/>
      <c r="T58" s="3"/>
      <c r="U58" s="3"/>
      <c r="V58" s="160"/>
      <c r="X58" s="142"/>
      <c r="Y58" s="142"/>
      <c r="Z58" s="142"/>
      <c r="AA58" s="142"/>
      <c r="AB58" s="142"/>
      <c r="AC58" s="142"/>
      <c r="AD58" s="142"/>
      <c r="AE58" s="142"/>
      <c r="AF58" s="142"/>
      <c r="AG58" s="142"/>
      <c r="AH58" s="142"/>
      <c r="AI58" s="142"/>
      <c r="AJ58" s="142"/>
      <c r="AK58" s="142"/>
      <c r="AL58" s="142"/>
      <c r="AM58" s="142"/>
      <c r="AN58" s="142"/>
      <c r="AO58" s="142"/>
      <c r="AP58" s="142"/>
      <c r="AQ58" s="142"/>
      <c r="AR58" s="142"/>
      <c r="AS58" s="142"/>
    </row>
    <row r="59" spans="2:45" x14ac:dyDescent="0.25">
      <c r="B59" s="159"/>
      <c r="C59" s="3"/>
      <c r="D59" s="3"/>
      <c r="E59" s="3"/>
      <c r="F59" s="3"/>
      <c r="G59" s="3"/>
      <c r="H59" s="3"/>
      <c r="I59" s="3"/>
      <c r="J59" s="3"/>
      <c r="K59" s="3"/>
      <c r="L59" s="3"/>
      <c r="M59" s="3"/>
      <c r="N59" s="3"/>
      <c r="O59" s="3"/>
      <c r="P59" s="3"/>
      <c r="Q59" s="3"/>
      <c r="R59" s="3"/>
      <c r="S59" s="3"/>
      <c r="T59" s="3"/>
      <c r="U59" s="3"/>
      <c r="V59" s="160"/>
      <c r="X59" s="142"/>
      <c r="Y59" s="142"/>
      <c r="Z59" s="142"/>
      <c r="AA59" s="142"/>
      <c r="AB59" s="142"/>
      <c r="AC59" s="142"/>
      <c r="AD59" s="142"/>
      <c r="AE59" s="142"/>
      <c r="AF59" s="142"/>
      <c r="AG59" s="142"/>
      <c r="AH59" s="142"/>
      <c r="AI59" s="142"/>
      <c r="AJ59" s="142"/>
      <c r="AK59" s="142"/>
      <c r="AL59" s="142"/>
      <c r="AM59" s="142"/>
      <c r="AN59" s="142"/>
      <c r="AO59" s="142"/>
      <c r="AP59" s="142"/>
      <c r="AQ59" s="142"/>
      <c r="AR59" s="142"/>
      <c r="AS59" s="142"/>
    </row>
    <row r="60" spans="2:45" ht="15.75" thickBot="1" x14ac:dyDescent="0.3">
      <c r="B60" s="159"/>
      <c r="C60" s="3"/>
      <c r="D60" s="3"/>
      <c r="E60" s="3"/>
      <c r="F60" s="3"/>
      <c r="G60" s="3"/>
      <c r="H60" s="339" t="s">
        <v>256</v>
      </c>
      <c r="I60" s="339"/>
      <c r="J60" s="339"/>
      <c r="K60" s="339"/>
      <c r="L60" s="3"/>
      <c r="M60" s="339" t="s">
        <v>257</v>
      </c>
      <c r="N60" s="339"/>
      <c r="O60" s="339"/>
      <c r="P60" s="339"/>
      <c r="Q60" s="3"/>
      <c r="R60" s="337" t="s">
        <v>258</v>
      </c>
      <c r="S60" s="339"/>
      <c r="T60" s="339"/>
      <c r="U60" s="337"/>
      <c r="V60" s="160"/>
      <c r="X60" s="142"/>
      <c r="Y60" s="142"/>
      <c r="Z60" s="142"/>
      <c r="AA60" s="142"/>
      <c r="AB60" s="142"/>
      <c r="AC60" s="142"/>
      <c r="AD60" s="142"/>
      <c r="AE60" s="142"/>
      <c r="AF60" s="142"/>
      <c r="AG60" s="142"/>
      <c r="AH60" s="142"/>
      <c r="AI60" s="142"/>
      <c r="AJ60" s="142"/>
      <c r="AK60" s="142"/>
      <c r="AL60" s="142"/>
      <c r="AM60" s="142"/>
      <c r="AN60" s="142"/>
      <c r="AO60" s="142"/>
      <c r="AP60" s="142"/>
      <c r="AQ60" s="142"/>
      <c r="AR60" s="142"/>
      <c r="AS60" s="142"/>
    </row>
    <row r="61" spans="2:45" x14ac:dyDescent="0.25">
      <c r="B61" s="162"/>
      <c r="C61" s="143" t="s">
        <v>26</v>
      </c>
      <c r="D61" s="139" t="s">
        <v>30</v>
      </c>
      <c r="E61" s="139" t="s">
        <v>34</v>
      </c>
      <c r="F61" s="11" t="s">
        <v>38</v>
      </c>
      <c r="G61" s="88"/>
      <c r="H61" s="8" t="str">
        <f ca="1">_xlfn.BASE(M61,2,8)</f>
        <v>10010011</v>
      </c>
      <c r="I61" s="139" t="str">
        <f t="shared" ref="I61:K64" ca="1" si="8">_xlfn.BASE(N61,2,8)</f>
        <v>01000101</v>
      </c>
      <c r="J61" s="139" t="str">
        <f t="shared" ca="1" si="8"/>
        <v>10000101</v>
      </c>
      <c r="K61" s="11" t="str">
        <f t="shared" ca="1" si="8"/>
        <v>11011000</v>
      </c>
      <c r="L61" s="88"/>
      <c r="M61" s="143">
        <f ca="1">C32</f>
        <v>147</v>
      </c>
      <c r="N61" s="139">
        <f ca="1">F32</f>
        <v>69</v>
      </c>
      <c r="O61" s="139">
        <f ca="1">I32</f>
        <v>133</v>
      </c>
      <c r="P61" s="11">
        <f ca="1">L32</f>
        <v>216</v>
      </c>
      <c r="Q61" s="88"/>
      <c r="R61" s="139" t="str">
        <f t="shared" ref="R61:U64" ca="1" si="9">_xlfn.BASE(M61,16,2)</f>
        <v>93</v>
      </c>
      <c r="S61" s="139" t="str">
        <f t="shared" ca="1" si="9"/>
        <v>45</v>
      </c>
      <c r="T61" s="139" t="str">
        <f t="shared" ca="1" si="9"/>
        <v>85</v>
      </c>
      <c r="U61" s="88" t="str">
        <f t="shared" ca="1" si="9"/>
        <v>D8</v>
      </c>
      <c r="V61" s="160"/>
      <c r="X61" s="142"/>
      <c r="Y61" s="142"/>
      <c r="Z61" s="142"/>
      <c r="AA61" s="142"/>
      <c r="AB61" s="142"/>
      <c r="AC61" s="142"/>
      <c r="AD61" s="142"/>
      <c r="AE61" s="142"/>
      <c r="AF61" s="142"/>
      <c r="AG61" s="142"/>
      <c r="AH61" s="142"/>
      <c r="AI61" s="142"/>
      <c r="AJ61" s="142"/>
      <c r="AK61" s="142"/>
      <c r="AL61" s="142"/>
      <c r="AM61" s="142"/>
      <c r="AN61" s="142"/>
      <c r="AO61" s="142"/>
      <c r="AP61" s="142"/>
      <c r="AQ61" s="142"/>
      <c r="AR61" s="142"/>
      <c r="AS61" s="142"/>
    </row>
    <row r="62" spans="2:45" x14ac:dyDescent="0.25">
      <c r="B62" s="162"/>
      <c r="C62" s="139" t="s">
        <v>27</v>
      </c>
      <c r="D62" s="139" t="s">
        <v>31</v>
      </c>
      <c r="E62" s="139" t="s">
        <v>35</v>
      </c>
      <c r="F62" s="88" t="s">
        <v>39</v>
      </c>
      <c r="G62" s="41" t="s">
        <v>8</v>
      </c>
      <c r="H62" s="139" t="str">
        <f t="shared" ref="H62:H64" ca="1" si="10">_xlfn.BASE(M62,2,8)</f>
        <v>00111011</v>
      </c>
      <c r="I62" s="139" t="str">
        <f t="shared" ca="1" si="8"/>
        <v>00000010</v>
      </c>
      <c r="J62" s="139" t="str">
        <f t="shared" ca="1" si="8"/>
        <v>00100001</v>
      </c>
      <c r="K62" s="88" t="str">
        <f t="shared" ca="1" si="8"/>
        <v>01110001</v>
      </c>
      <c r="L62" s="40" t="s">
        <v>8</v>
      </c>
      <c r="M62" s="139">
        <f ca="1">C40</f>
        <v>59</v>
      </c>
      <c r="N62" s="139">
        <f ca="1">F40</f>
        <v>2</v>
      </c>
      <c r="O62" s="139">
        <f ca="1">I40</f>
        <v>33</v>
      </c>
      <c r="P62" s="88">
        <f ca="1">L40</f>
        <v>113</v>
      </c>
      <c r="Q62" s="40" t="s">
        <v>8</v>
      </c>
      <c r="R62" s="139" t="str">
        <f t="shared" ca="1" si="9"/>
        <v>3B</v>
      </c>
      <c r="S62" s="139" t="str">
        <f t="shared" ca="1" si="9"/>
        <v>02</v>
      </c>
      <c r="T62" s="139" t="str">
        <f t="shared" ca="1" si="9"/>
        <v>21</v>
      </c>
      <c r="U62" s="88" t="str">
        <f t="shared" ca="1" si="9"/>
        <v>71</v>
      </c>
      <c r="V62" s="160"/>
      <c r="X62" s="142"/>
      <c r="Y62" s="142"/>
      <c r="Z62" s="142"/>
      <c r="AA62" s="142"/>
      <c r="AB62" s="142"/>
      <c r="AC62" s="142"/>
      <c r="AD62" s="142"/>
      <c r="AE62" s="142"/>
      <c r="AF62" s="142"/>
      <c r="AG62" s="142"/>
      <c r="AH62" s="142"/>
      <c r="AI62" s="142"/>
      <c r="AJ62" s="142"/>
      <c r="AK62" s="142"/>
      <c r="AL62" s="142"/>
      <c r="AM62" s="142"/>
      <c r="AN62" s="142"/>
      <c r="AO62" s="142"/>
      <c r="AP62" s="142"/>
      <c r="AQ62" s="142"/>
      <c r="AR62" s="142"/>
      <c r="AS62" s="142"/>
    </row>
    <row r="63" spans="2:45" x14ac:dyDescent="0.25">
      <c r="B63" s="162"/>
      <c r="C63" s="139" t="s">
        <v>28</v>
      </c>
      <c r="D63" s="139" t="s">
        <v>32</v>
      </c>
      <c r="E63" s="139" t="s">
        <v>36</v>
      </c>
      <c r="F63" s="88" t="s">
        <v>40</v>
      </c>
      <c r="G63" s="88"/>
      <c r="H63" s="139" t="str">
        <f t="shared" ca="1" si="10"/>
        <v>10000101</v>
      </c>
      <c r="I63" s="139" t="str">
        <f t="shared" ca="1" si="8"/>
        <v>11110111</v>
      </c>
      <c r="J63" s="139" t="str">
        <f t="shared" ca="1" si="8"/>
        <v>00110011</v>
      </c>
      <c r="K63" s="88" t="str">
        <f t="shared" ca="1" si="8"/>
        <v>00010101</v>
      </c>
      <c r="L63" s="88"/>
      <c r="M63" s="139">
        <f ca="1">C48</f>
        <v>133</v>
      </c>
      <c r="N63" s="139">
        <f ca="1">F48</f>
        <v>247</v>
      </c>
      <c r="O63" s="139">
        <f ca="1">I48</f>
        <v>51</v>
      </c>
      <c r="P63" s="88">
        <f ca="1">L48</f>
        <v>21</v>
      </c>
      <c r="Q63" s="88"/>
      <c r="R63" s="139" t="str">
        <f t="shared" ca="1" si="9"/>
        <v>85</v>
      </c>
      <c r="S63" s="139" t="str">
        <f t="shared" ca="1" si="9"/>
        <v>F7</v>
      </c>
      <c r="T63" s="139" t="str">
        <f t="shared" ca="1" si="9"/>
        <v>33</v>
      </c>
      <c r="U63" s="88" t="str">
        <f t="shared" ca="1" si="9"/>
        <v>15</v>
      </c>
      <c r="V63" s="160"/>
      <c r="X63" s="142"/>
      <c r="Y63" s="142"/>
      <c r="Z63" s="142"/>
      <c r="AA63" s="142"/>
      <c r="AB63" s="142"/>
      <c r="AC63" s="142"/>
      <c r="AD63" s="142"/>
      <c r="AE63" s="142"/>
      <c r="AF63" s="142"/>
      <c r="AG63" s="142"/>
      <c r="AH63" s="142"/>
      <c r="AI63" s="142"/>
      <c r="AJ63" s="142"/>
      <c r="AK63" s="142"/>
      <c r="AL63" s="142"/>
      <c r="AM63" s="142"/>
      <c r="AN63" s="142"/>
      <c r="AO63" s="142"/>
      <c r="AP63" s="142"/>
      <c r="AQ63" s="142"/>
      <c r="AR63" s="142"/>
      <c r="AS63" s="142"/>
    </row>
    <row r="64" spans="2:45" ht="15.75" thickBot="1" x14ac:dyDescent="0.3">
      <c r="B64" s="162"/>
      <c r="C64" s="16" t="s">
        <v>29</v>
      </c>
      <c r="D64" s="139" t="s">
        <v>33</v>
      </c>
      <c r="E64" s="139" t="s">
        <v>37</v>
      </c>
      <c r="F64" s="14" t="s">
        <v>41</v>
      </c>
      <c r="G64" s="88"/>
      <c r="H64" s="139" t="str">
        <f t="shared" ca="1" si="10"/>
        <v>10101000</v>
      </c>
      <c r="I64" s="139" t="str">
        <f t="shared" ca="1" si="8"/>
        <v>01010011</v>
      </c>
      <c r="J64" s="139" t="str">
        <f t="shared" ca="1" si="8"/>
        <v>10101000</v>
      </c>
      <c r="K64" s="88" t="str">
        <f t="shared" ca="1" si="8"/>
        <v>11011000</v>
      </c>
      <c r="L64" s="88"/>
      <c r="M64" s="16">
        <f ca="1">C57</f>
        <v>168</v>
      </c>
      <c r="N64" s="139">
        <f ca="1">F57</f>
        <v>83</v>
      </c>
      <c r="O64" s="139">
        <f ca="1">I57</f>
        <v>168</v>
      </c>
      <c r="P64" s="14">
        <f ca="1">L57</f>
        <v>216</v>
      </c>
      <c r="Q64" s="88"/>
      <c r="R64" s="139" t="str">
        <f t="shared" ca="1" si="9"/>
        <v>A8</v>
      </c>
      <c r="S64" s="139" t="str">
        <f t="shared" ca="1" si="9"/>
        <v>53</v>
      </c>
      <c r="T64" s="139" t="str">
        <f t="shared" ca="1" si="9"/>
        <v>A8</v>
      </c>
      <c r="U64" s="88" t="str">
        <f t="shared" ca="1" si="9"/>
        <v>D8</v>
      </c>
      <c r="V64" s="160"/>
      <c r="X64" s="142"/>
      <c r="Y64" s="142"/>
      <c r="Z64" s="142"/>
      <c r="AA64" s="142"/>
      <c r="AB64" s="142"/>
      <c r="AC64" s="142"/>
      <c r="AD64" s="142"/>
      <c r="AE64" s="142"/>
      <c r="AF64" s="142"/>
      <c r="AG64" s="142"/>
      <c r="AH64" s="142"/>
      <c r="AI64" s="142"/>
      <c r="AJ64" s="142"/>
      <c r="AK64" s="142"/>
      <c r="AL64" s="142"/>
      <c r="AM64" s="142"/>
      <c r="AN64" s="142"/>
      <c r="AO64" s="142"/>
      <c r="AP64" s="142"/>
      <c r="AQ64" s="142"/>
      <c r="AR64" s="142"/>
      <c r="AS64" s="142"/>
    </row>
    <row r="65" spans="1:45" x14ac:dyDescent="0.25">
      <c r="B65" s="159"/>
      <c r="C65" s="3"/>
      <c r="D65" s="3"/>
      <c r="E65" s="3"/>
      <c r="F65" s="3"/>
      <c r="G65" s="3"/>
      <c r="H65" s="6"/>
      <c r="I65" s="3"/>
      <c r="J65" s="3"/>
      <c r="K65" s="6"/>
      <c r="L65" s="3"/>
      <c r="M65" s="3"/>
      <c r="N65" s="3"/>
      <c r="O65" s="3"/>
      <c r="P65" s="3"/>
      <c r="Q65" s="3"/>
      <c r="R65" s="6"/>
      <c r="S65" s="3"/>
      <c r="T65" s="3"/>
      <c r="U65" s="6"/>
      <c r="V65" s="160"/>
      <c r="X65" s="142"/>
      <c r="Y65" s="142"/>
      <c r="Z65" s="142"/>
      <c r="AA65" s="142"/>
      <c r="AB65" s="142"/>
      <c r="AC65" s="142"/>
      <c r="AD65" s="142"/>
      <c r="AE65" s="142"/>
      <c r="AF65" s="142"/>
      <c r="AG65" s="142"/>
      <c r="AH65" s="142"/>
      <c r="AI65" s="142"/>
      <c r="AJ65" s="142"/>
      <c r="AK65" s="142"/>
      <c r="AL65" s="142"/>
      <c r="AM65" s="142"/>
      <c r="AN65" s="142"/>
      <c r="AO65" s="142"/>
      <c r="AP65" s="142"/>
      <c r="AQ65" s="142"/>
      <c r="AR65" s="142"/>
      <c r="AS65" s="142"/>
    </row>
    <row r="66" spans="1:45" ht="15.75" thickBot="1" x14ac:dyDescent="0.3">
      <c r="B66" s="163"/>
      <c r="C66" s="164"/>
      <c r="D66" s="164"/>
      <c r="E66" s="164"/>
      <c r="F66" s="164"/>
      <c r="G66" s="164"/>
      <c r="H66" s="164"/>
      <c r="I66" s="164"/>
      <c r="J66" s="164"/>
      <c r="K66" s="164"/>
      <c r="L66" s="164"/>
      <c r="M66" s="164"/>
      <c r="N66" s="164"/>
      <c r="O66" s="164"/>
      <c r="P66" s="164"/>
      <c r="Q66" s="164"/>
      <c r="R66" s="164"/>
      <c r="S66" s="164"/>
      <c r="T66" s="164"/>
      <c r="U66" s="164"/>
      <c r="V66" s="165"/>
      <c r="X66" s="142"/>
      <c r="Y66" s="142"/>
      <c r="Z66" s="142"/>
      <c r="AA66" s="142"/>
      <c r="AB66" s="142"/>
      <c r="AC66" s="142"/>
      <c r="AD66" s="142"/>
      <c r="AE66" s="142"/>
      <c r="AF66" s="142"/>
      <c r="AG66" s="142"/>
      <c r="AH66" s="142"/>
      <c r="AI66" s="142"/>
      <c r="AJ66" s="142"/>
      <c r="AK66" s="142"/>
      <c r="AL66" s="142"/>
      <c r="AM66" s="142"/>
      <c r="AN66" s="142"/>
      <c r="AO66" s="142"/>
      <c r="AP66" s="142"/>
      <c r="AQ66" s="142"/>
      <c r="AR66" s="142"/>
      <c r="AS66" s="142"/>
    </row>
    <row r="67" spans="1:45" s="142" customFormat="1" ht="16.5" thickTop="1" thickBot="1" x14ac:dyDescent="0.3">
      <c r="B67" s="277"/>
      <c r="C67" s="3"/>
      <c r="D67" s="3"/>
      <c r="E67" s="3"/>
      <c r="F67" s="3"/>
      <c r="G67" s="3"/>
      <c r="H67" s="3"/>
      <c r="I67" s="3"/>
      <c r="J67" s="3"/>
      <c r="K67" s="3"/>
      <c r="L67" s="3"/>
      <c r="M67" s="3"/>
      <c r="N67" s="3"/>
      <c r="O67" s="3"/>
      <c r="P67" s="3"/>
      <c r="Q67" s="3"/>
      <c r="R67" s="3"/>
      <c r="S67" s="3"/>
      <c r="T67" s="3"/>
      <c r="U67" s="3"/>
      <c r="V67" s="3"/>
    </row>
    <row r="68" spans="1:45" ht="27" thickTop="1" x14ac:dyDescent="0.4">
      <c r="A68" s="169"/>
      <c r="B68" s="120" t="s">
        <v>43</v>
      </c>
      <c r="C68" s="166"/>
      <c r="D68" s="166"/>
      <c r="E68" s="166"/>
      <c r="F68" s="166"/>
      <c r="G68" s="166"/>
      <c r="H68" s="166"/>
      <c r="I68" s="166"/>
      <c r="J68" s="166"/>
      <c r="K68" s="166"/>
      <c r="L68" s="166"/>
      <c r="M68" s="166"/>
      <c r="N68" s="166"/>
      <c r="O68" s="166"/>
      <c r="P68" s="166"/>
      <c r="Q68" s="166"/>
      <c r="R68" s="166"/>
      <c r="S68" s="166"/>
      <c r="T68" s="166"/>
      <c r="U68" s="166"/>
      <c r="V68" s="167"/>
      <c r="X68" s="142"/>
      <c r="Y68" s="142"/>
      <c r="Z68" s="142"/>
      <c r="AA68" s="142"/>
      <c r="AB68" s="142"/>
      <c r="AC68" s="142"/>
      <c r="AD68" s="142"/>
      <c r="AE68" s="142"/>
      <c r="AF68" s="142"/>
      <c r="AG68" s="142"/>
      <c r="AH68" s="142"/>
      <c r="AI68" s="142"/>
      <c r="AJ68" s="142"/>
      <c r="AK68" s="142"/>
      <c r="AL68" s="142"/>
      <c r="AM68" s="142"/>
      <c r="AN68" s="142"/>
      <c r="AO68" s="142"/>
      <c r="AP68" s="142"/>
      <c r="AQ68" s="142"/>
      <c r="AR68" s="142"/>
      <c r="AS68" s="142"/>
    </row>
    <row r="69" spans="1:45" ht="15.75" thickBot="1" x14ac:dyDescent="0.3">
      <c r="B69" s="168"/>
      <c r="C69" s="2"/>
      <c r="D69" s="3"/>
      <c r="E69" s="3"/>
      <c r="F69" s="2"/>
      <c r="G69" s="3"/>
      <c r="H69" s="339" t="s">
        <v>256</v>
      </c>
      <c r="I69" s="339"/>
      <c r="J69" s="339"/>
      <c r="K69" s="339"/>
      <c r="L69" s="3"/>
      <c r="M69" s="339" t="s">
        <v>257</v>
      </c>
      <c r="N69" s="339"/>
      <c r="O69" s="339"/>
      <c r="P69" s="339"/>
      <c r="Q69" s="3"/>
      <c r="R69" s="339" t="s">
        <v>258</v>
      </c>
      <c r="S69" s="339"/>
      <c r="T69" s="339"/>
      <c r="U69" s="339"/>
      <c r="V69" s="169"/>
      <c r="X69" s="142"/>
      <c r="Y69" s="142"/>
      <c r="Z69" s="142"/>
      <c r="AA69" s="142"/>
      <c r="AB69" s="142"/>
      <c r="AC69" s="142"/>
      <c r="AD69" s="142"/>
      <c r="AE69" s="142"/>
      <c r="AF69" s="142"/>
      <c r="AG69" s="142"/>
      <c r="AH69" s="142"/>
      <c r="AI69" s="142"/>
      <c r="AJ69" s="142"/>
      <c r="AK69" s="142"/>
      <c r="AL69" s="142"/>
      <c r="AM69" s="142"/>
      <c r="AN69" s="142"/>
      <c r="AO69" s="142"/>
      <c r="AP69" s="142"/>
      <c r="AQ69" s="142"/>
      <c r="AR69" s="142"/>
      <c r="AS69" s="142"/>
    </row>
    <row r="70" spans="1:45" x14ac:dyDescent="0.25">
      <c r="B70" s="170" t="s">
        <v>44</v>
      </c>
      <c r="C70" s="139" t="s">
        <v>26</v>
      </c>
      <c r="D70" s="139" t="s">
        <v>30</v>
      </c>
      <c r="E70" s="139" t="s">
        <v>34</v>
      </c>
      <c r="F70" s="11" t="s">
        <v>38</v>
      </c>
      <c r="G70" s="3"/>
      <c r="H70" s="8" t="str">
        <f ca="1">_xlfn.BASE(M70,2,8)</f>
        <v>10010011</v>
      </c>
      <c r="I70" s="139" t="str">
        <f t="shared" ref="I70:K73" ca="1" si="11">_xlfn.BASE(N70,2,8)</f>
        <v>01000101</v>
      </c>
      <c r="J70" s="139" t="str">
        <f t="shared" ca="1" si="11"/>
        <v>10000101</v>
      </c>
      <c r="K70" s="143" t="str">
        <f ca="1">_xlfn.BASE(P70,2,8)</f>
        <v>11011000</v>
      </c>
      <c r="L70" s="7"/>
      <c r="M70" s="8">
        <f ca="1">M61</f>
        <v>147</v>
      </c>
      <c r="N70" s="139">
        <f ca="1">N61</f>
        <v>69</v>
      </c>
      <c r="O70" s="139">
        <f ca="1">O61</f>
        <v>133</v>
      </c>
      <c r="P70" s="11">
        <f ca="1">P61</f>
        <v>216</v>
      </c>
      <c r="Q70" s="88"/>
      <c r="R70" s="8" t="str">
        <f ca="1">_xlfn.BASE(M70,16,2)</f>
        <v>93</v>
      </c>
      <c r="S70" s="139" t="str">
        <f t="shared" ref="S70:U70" ca="1" si="12">_xlfn.BASE(N70,16,2)</f>
        <v>45</v>
      </c>
      <c r="T70" s="139" t="str">
        <f t="shared" ca="1" si="12"/>
        <v>85</v>
      </c>
      <c r="U70" s="11" t="str">
        <f t="shared" ca="1" si="12"/>
        <v>D8</v>
      </c>
      <c r="V70" s="169"/>
      <c r="X70" s="142"/>
      <c r="Y70" s="142"/>
      <c r="Z70" s="142"/>
      <c r="AA70" s="142"/>
      <c r="AB70" s="142"/>
      <c r="AC70" s="142"/>
      <c r="AD70" s="142"/>
      <c r="AE70" s="142"/>
      <c r="AF70" s="142"/>
      <c r="AG70" s="142"/>
      <c r="AH70" s="142"/>
      <c r="AI70" s="142"/>
      <c r="AJ70" s="142"/>
      <c r="AK70" s="142"/>
      <c r="AL70" s="142"/>
      <c r="AM70" s="142"/>
      <c r="AN70" s="142"/>
      <c r="AO70" s="142"/>
      <c r="AP70" s="142"/>
      <c r="AQ70" s="142"/>
      <c r="AR70" s="142"/>
      <c r="AS70" s="142"/>
    </row>
    <row r="71" spans="1:45" ht="21" x14ac:dyDescent="0.35">
      <c r="B71" s="170" t="s">
        <v>45</v>
      </c>
      <c r="C71" s="139" t="s">
        <v>31</v>
      </c>
      <c r="D71" s="139" t="s">
        <v>35</v>
      </c>
      <c r="E71" s="139" t="s">
        <v>39</v>
      </c>
      <c r="F71" s="88" t="s">
        <v>27</v>
      </c>
      <c r="G71" s="19" t="s">
        <v>8</v>
      </c>
      <c r="H71" s="139" t="str">
        <f t="shared" ref="H71:H73" ca="1" si="13">_xlfn.BASE(M71,2,8)</f>
        <v>00000010</v>
      </c>
      <c r="I71" s="139" t="str">
        <f t="shared" ca="1" si="11"/>
        <v>00100001</v>
      </c>
      <c r="J71" s="139" t="str">
        <f t="shared" ca="1" si="11"/>
        <v>01110001</v>
      </c>
      <c r="K71" s="139" t="str">
        <f t="shared" ca="1" si="11"/>
        <v>00111011</v>
      </c>
      <c r="L71" s="24" t="s">
        <v>8</v>
      </c>
      <c r="M71" s="139">
        <f ca="1">N62</f>
        <v>2</v>
      </c>
      <c r="N71" s="139">
        <f ca="1">O62</f>
        <v>33</v>
      </c>
      <c r="O71" s="139">
        <f ca="1">P62</f>
        <v>113</v>
      </c>
      <c r="P71" s="88">
        <f ca="1">M62</f>
        <v>59</v>
      </c>
      <c r="Q71" s="40" t="s">
        <v>8</v>
      </c>
      <c r="R71" s="139" t="str">
        <f t="shared" ref="R71:R73" ca="1" si="14">_xlfn.BASE(M71,16,2)</f>
        <v>02</v>
      </c>
      <c r="S71" s="139" t="str">
        <f t="shared" ref="S71:S73" ca="1" si="15">_xlfn.BASE(N71,16,2)</f>
        <v>21</v>
      </c>
      <c r="T71" s="139" t="str">
        <f t="shared" ref="T71:T73" ca="1" si="16">_xlfn.BASE(O71,16,2)</f>
        <v>71</v>
      </c>
      <c r="U71" s="88" t="str">
        <f t="shared" ref="U71:U73" ca="1" si="17">_xlfn.BASE(P71,16,2)</f>
        <v>3B</v>
      </c>
      <c r="V71" s="169"/>
      <c r="X71" s="142"/>
      <c r="Y71" s="142"/>
      <c r="Z71" s="142"/>
      <c r="AA71" s="142"/>
      <c r="AB71" s="142"/>
      <c r="AC71" s="142"/>
      <c r="AD71" s="142"/>
      <c r="AE71" s="142"/>
      <c r="AF71" s="142"/>
      <c r="AG71" s="142"/>
      <c r="AH71" s="142"/>
      <c r="AI71" s="142"/>
      <c r="AJ71" s="142"/>
      <c r="AK71" s="142"/>
      <c r="AL71" s="142"/>
      <c r="AM71" s="142"/>
      <c r="AN71" s="142"/>
      <c r="AO71" s="142"/>
      <c r="AP71" s="142"/>
      <c r="AQ71" s="142"/>
      <c r="AR71" s="142"/>
      <c r="AS71" s="142"/>
    </row>
    <row r="72" spans="1:45" x14ac:dyDescent="0.25">
      <c r="B72" s="170" t="s">
        <v>46</v>
      </c>
      <c r="C72" s="139" t="s">
        <v>36</v>
      </c>
      <c r="D72" s="139" t="s">
        <v>40</v>
      </c>
      <c r="E72" s="139" t="s">
        <v>28</v>
      </c>
      <c r="F72" s="88" t="s">
        <v>32</v>
      </c>
      <c r="G72" s="7"/>
      <c r="H72" s="139" t="str">
        <f t="shared" ca="1" si="13"/>
        <v>00110011</v>
      </c>
      <c r="I72" s="139" t="str">
        <f t="shared" ca="1" si="11"/>
        <v>00010101</v>
      </c>
      <c r="J72" s="139" t="str">
        <f t="shared" ca="1" si="11"/>
        <v>10000101</v>
      </c>
      <c r="K72" s="139" t="str">
        <f t="shared" ca="1" si="11"/>
        <v>11110111</v>
      </c>
      <c r="L72" s="7"/>
      <c r="M72" s="139">
        <f ca="1">O63</f>
        <v>51</v>
      </c>
      <c r="N72" s="139">
        <f ca="1">P63</f>
        <v>21</v>
      </c>
      <c r="O72" s="139">
        <f ca="1">M63</f>
        <v>133</v>
      </c>
      <c r="P72" s="88">
        <f ca="1">N63</f>
        <v>247</v>
      </c>
      <c r="Q72" s="88"/>
      <c r="R72" s="139" t="str">
        <f t="shared" ca="1" si="14"/>
        <v>33</v>
      </c>
      <c r="S72" s="139" t="str">
        <f t="shared" ca="1" si="15"/>
        <v>15</v>
      </c>
      <c r="T72" s="139" t="str">
        <f t="shared" ca="1" si="16"/>
        <v>85</v>
      </c>
      <c r="U72" s="88" t="str">
        <f t="shared" ca="1" si="17"/>
        <v>F7</v>
      </c>
      <c r="V72" s="169"/>
      <c r="X72" s="142"/>
      <c r="Y72" s="142"/>
      <c r="Z72" s="142"/>
      <c r="AA72" s="142"/>
      <c r="AB72" s="142"/>
      <c r="AC72" s="142"/>
      <c r="AD72" s="142"/>
      <c r="AE72" s="142"/>
      <c r="AF72" s="142"/>
      <c r="AG72" s="142"/>
      <c r="AH72" s="142"/>
      <c r="AI72" s="142"/>
      <c r="AJ72" s="142"/>
      <c r="AK72" s="142"/>
      <c r="AL72" s="142"/>
      <c r="AM72" s="142"/>
      <c r="AN72" s="142"/>
      <c r="AO72" s="142"/>
      <c r="AP72" s="142"/>
      <c r="AQ72" s="142"/>
      <c r="AR72" s="142"/>
      <c r="AS72" s="142"/>
    </row>
    <row r="73" spans="1:45" ht="15.75" thickBot="1" x14ac:dyDescent="0.3">
      <c r="B73" s="170" t="s">
        <v>47</v>
      </c>
      <c r="C73" s="139" t="s">
        <v>41</v>
      </c>
      <c r="D73" s="139" t="s">
        <v>29</v>
      </c>
      <c r="E73" s="139" t="s">
        <v>33</v>
      </c>
      <c r="F73" s="14" t="s">
        <v>37</v>
      </c>
      <c r="G73" s="4"/>
      <c r="H73" s="139" t="str">
        <f t="shared" ca="1" si="13"/>
        <v>11011000</v>
      </c>
      <c r="I73" s="139" t="str">
        <f t="shared" ca="1" si="11"/>
        <v>10101000</v>
      </c>
      <c r="J73" s="139" t="str">
        <f t="shared" ca="1" si="11"/>
        <v>01010011</v>
      </c>
      <c r="K73" s="139" t="str">
        <f t="shared" ca="1" si="11"/>
        <v>10101000</v>
      </c>
      <c r="L73" s="7"/>
      <c r="M73" s="16">
        <f ca="1">P64</f>
        <v>216</v>
      </c>
      <c r="N73" s="139">
        <f ca="1">M64</f>
        <v>168</v>
      </c>
      <c r="O73" s="139">
        <f ca="1">N64</f>
        <v>83</v>
      </c>
      <c r="P73" s="14">
        <f ca="1">O64</f>
        <v>168</v>
      </c>
      <c r="Q73" s="88"/>
      <c r="R73" s="139" t="str">
        <f t="shared" ca="1" si="14"/>
        <v>D8</v>
      </c>
      <c r="S73" s="139" t="str">
        <f t="shared" ca="1" si="15"/>
        <v>A8</v>
      </c>
      <c r="T73" s="139" t="str">
        <f t="shared" ca="1" si="16"/>
        <v>53</v>
      </c>
      <c r="U73" s="14" t="str">
        <f t="shared" ca="1" si="17"/>
        <v>A8</v>
      </c>
      <c r="V73" s="169"/>
      <c r="X73" s="142"/>
      <c r="Y73" s="142"/>
      <c r="Z73" s="142"/>
      <c r="AA73" s="142"/>
      <c r="AB73" s="142"/>
      <c r="AC73" s="142"/>
      <c r="AD73" s="142"/>
      <c r="AE73" s="142"/>
      <c r="AF73" s="142"/>
      <c r="AG73" s="142"/>
      <c r="AH73" s="142"/>
      <c r="AI73" s="142"/>
      <c r="AJ73" s="142"/>
      <c r="AK73" s="142"/>
      <c r="AL73" s="142"/>
      <c r="AM73" s="142"/>
      <c r="AN73" s="142"/>
      <c r="AO73" s="142"/>
      <c r="AP73" s="142"/>
      <c r="AQ73" s="142"/>
      <c r="AR73" s="142"/>
      <c r="AS73" s="142"/>
    </row>
    <row r="74" spans="1:45" ht="15.75" thickBot="1" x14ac:dyDescent="0.3">
      <c r="B74" s="171"/>
      <c r="C74" s="172"/>
      <c r="D74" s="173"/>
      <c r="E74" s="173"/>
      <c r="F74" s="173"/>
      <c r="G74" s="173"/>
      <c r="H74" s="172"/>
      <c r="I74" s="173"/>
      <c r="J74" s="173"/>
      <c r="K74" s="172"/>
      <c r="L74" s="173"/>
      <c r="M74" s="173"/>
      <c r="N74" s="173"/>
      <c r="O74" s="173"/>
      <c r="P74" s="173"/>
      <c r="Q74" s="173"/>
      <c r="R74" s="172"/>
      <c r="S74" s="173"/>
      <c r="T74" s="173"/>
      <c r="U74" s="172"/>
      <c r="V74" s="174"/>
      <c r="X74" s="142"/>
      <c r="Y74" s="142"/>
      <c r="Z74" s="142"/>
      <c r="AA74" s="142"/>
      <c r="AB74" s="142"/>
      <c r="AC74" s="142"/>
      <c r="AD74" s="142"/>
      <c r="AE74" s="142"/>
      <c r="AF74" s="142"/>
      <c r="AG74" s="142"/>
      <c r="AH74" s="142"/>
      <c r="AI74" s="142"/>
      <c r="AJ74" s="142"/>
      <c r="AK74" s="142"/>
      <c r="AL74" s="142"/>
      <c r="AM74" s="142"/>
      <c r="AN74" s="142"/>
      <c r="AO74" s="142"/>
      <c r="AP74" s="142"/>
      <c r="AQ74" s="142"/>
      <c r="AR74" s="142"/>
      <c r="AS74" s="142"/>
    </row>
    <row r="75" spans="1:45" ht="16.5" thickTop="1" thickBot="1" x14ac:dyDescent="0.3">
      <c r="B75" s="278"/>
      <c r="I75" s="109"/>
      <c r="J75" s="109"/>
      <c r="K75" s="109"/>
      <c r="L75" s="3"/>
      <c r="M75" s="3"/>
      <c r="N75" s="3"/>
      <c r="O75" s="3"/>
    </row>
    <row r="76" spans="1:45" ht="27" thickTop="1" x14ac:dyDescent="0.4">
      <c r="B76" s="279" t="s">
        <v>48</v>
      </c>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6"/>
    </row>
    <row r="77" spans="1:45" x14ac:dyDescent="0.25">
      <c r="B77" s="177"/>
      <c r="C77" s="28"/>
      <c r="D77" s="28"/>
      <c r="E77" s="339" t="s">
        <v>50</v>
      </c>
      <c r="F77" s="339"/>
      <c r="G77" s="339"/>
      <c r="H77" s="339"/>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178"/>
    </row>
    <row r="78" spans="1:45" ht="15.75" thickBot="1" x14ac:dyDescent="0.3">
      <c r="B78" s="177"/>
      <c r="C78" s="3"/>
      <c r="D78" s="3"/>
      <c r="E78" s="141">
        <v>0</v>
      </c>
      <c r="F78" s="141">
        <v>1</v>
      </c>
      <c r="G78" s="141">
        <v>2</v>
      </c>
      <c r="H78" s="141">
        <v>3</v>
      </c>
      <c r="I78" s="3"/>
      <c r="J78" s="3"/>
      <c r="K78" s="3"/>
      <c r="L78" s="3"/>
      <c r="M78" s="3"/>
      <c r="N78" s="3"/>
      <c r="O78" s="3"/>
      <c r="P78" s="3"/>
      <c r="Q78" s="2"/>
      <c r="R78" s="3"/>
      <c r="S78" s="3"/>
      <c r="T78" s="2"/>
      <c r="U78" s="3"/>
      <c r="V78" s="3"/>
      <c r="W78" s="3"/>
      <c r="X78" s="3"/>
      <c r="Y78" s="3"/>
      <c r="Z78" s="3"/>
      <c r="AA78" s="3"/>
      <c r="AB78" s="3"/>
      <c r="AC78" s="3"/>
      <c r="AD78" s="3"/>
      <c r="AE78" s="3"/>
      <c r="AF78" s="3"/>
      <c r="AG78" s="3"/>
      <c r="AH78" s="3"/>
      <c r="AI78" s="3"/>
      <c r="AJ78" s="3"/>
      <c r="AK78" s="3"/>
      <c r="AL78" s="3"/>
      <c r="AM78" s="3"/>
      <c r="AN78" s="3"/>
      <c r="AO78" s="3"/>
      <c r="AP78" s="178"/>
    </row>
    <row r="79" spans="1:45" x14ac:dyDescent="0.25">
      <c r="B79" s="177"/>
      <c r="C79" s="336" t="s">
        <v>49</v>
      </c>
      <c r="D79" s="140">
        <v>0</v>
      </c>
      <c r="E79" s="8" t="s">
        <v>26</v>
      </c>
      <c r="F79" s="139" t="s">
        <v>30</v>
      </c>
      <c r="G79" s="139" t="s">
        <v>34</v>
      </c>
      <c r="H79" s="11" t="s">
        <v>38</v>
      </c>
      <c r="I79" s="4"/>
      <c r="J79" s="143">
        <v>2</v>
      </c>
      <c r="K79" s="139">
        <v>3</v>
      </c>
      <c r="L79" s="139">
        <v>1</v>
      </c>
      <c r="M79" s="11">
        <v>1</v>
      </c>
      <c r="O79" s="12" t="s">
        <v>51</v>
      </c>
      <c r="P79" s="4"/>
      <c r="Q79" s="139" t="s">
        <v>56</v>
      </c>
      <c r="R79" s="139" t="s">
        <v>60</v>
      </c>
      <c r="S79" s="139" t="s">
        <v>64</v>
      </c>
      <c r="T79" s="11" t="s">
        <v>68</v>
      </c>
      <c r="U79" s="5"/>
      <c r="V79" s="3"/>
      <c r="W79" s="3"/>
      <c r="X79" s="3"/>
      <c r="Y79" s="3"/>
      <c r="Z79" s="3"/>
      <c r="AA79" s="3"/>
      <c r="AB79" s="3"/>
      <c r="AC79" s="3"/>
      <c r="AD79" s="3"/>
      <c r="AE79" s="3"/>
      <c r="AF79" s="3"/>
      <c r="AG79" s="3"/>
      <c r="AH79" s="3"/>
      <c r="AI79" s="3"/>
      <c r="AJ79" s="3"/>
      <c r="AK79" s="3"/>
      <c r="AL79" s="3"/>
      <c r="AM79" s="3"/>
      <c r="AN79" s="3"/>
      <c r="AO79" s="3"/>
      <c r="AP79" s="178"/>
    </row>
    <row r="80" spans="1:45" ht="21" x14ac:dyDescent="0.35">
      <c r="B80" s="177"/>
      <c r="C80" s="336"/>
      <c r="D80" s="140">
        <v>1</v>
      </c>
      <c r="E80" s="139" t="s">
        <v>31</v>
      </c>
      <c r="F80" s="139" t="s">
        <v>35</v>
      </c>
      <c r="G80" s="139" t="s">
        <v>39</v>
      </c>
      <c r="H80" s="88" t="s">
        <v>27</v>
      </c>
      <c r="I80" s="4"/>
      <c r="J80" s="139">
        <v>1</v>
      </c>
      <c r="K80" s="139">
        <v>2</v>
      </c>
      <c r="L80" s="139">
        <v>3</v>
      </c>
      <c r="M80" s="88">
        <v>1</v>
      </c>
      <c r="N80" s="22" t="s">
        <v>25</v>
      </c>
      <c r="O80" s="12" t="s">
        <v>51</v>
      </c>
      <c r="P80" s="19" t="s">
        <v>8</v>
      </c>
      <c r="Q80" s="139" t="s">
        <v>57</v>
      </c>
      <c r="R80" s="139" t="s">
        <v>61</v>
      </c>
      <c r="S80" s="139" t="s">
        <v>65</v>
      </c>
      <c r="T80" s="88" t="s">
        <v>69</v>
      </c>
      <c r="U80" s="3"/>
      <c r="V80" s="3"/>
      <c r="X80" s="3"/>
      <c r="Y80" s="3"/>
      <c r="Z80" s="3"/>
      <c r="AA80" s="3"/>
      <c r="AB80" s="3"/>
      <c r="AC80" s="3"/>
      <c r="AD80" s="3"/>
      <c r="AE80" s="3"/>
      <c r="AF80" s="3"/>
      <c r="AG80" s="3"/>
      <c r="AH80" s="3"/>
      <c r="AI80" s="3"/>
      <c r="AJ80" s="3"/>
      <c r="AK80" s="3"/>
      <c r="AL80" s="3"/>
      <c r="AM80" s="3"/>
      <c r="AN80" s="3"/>
      <c r="AO80" s="3"/>
      <c r="AP80" s="178"/>
    </row>
    <row r="81" spans="2:63" x14ac:dyDescent="0.25">
      <c r="B81" s="177"/>
      <c r="C81" s="336"/>
      <c r="D81" s="140">
        <v>2</v>
      </c>
      <c r="E81" s="139" t="s">
        <v>36</v>
      </c>
      <c r="F81" s="139" t="s">
        <v>40</v>
      </c>
      <c r="G81" s="139" t="s">
        <v>28</v>
      </c>
      <c r="H81" s="88" t="s">
        <v>32</v>
      </c>
      <c r="I81" s="4"/>
      <c r="J81" s="139">
        <v>1</v>
      </c>
      <c r="K81" s="139">
        <v>1</v>
      </c>
      <c r="L81" s="139">
        <v>2</v>
      </c>
      <c r="M81" s="88">
        <v>3</v>
      </c>
      <c r="O81" s="12" t="s">
        <v>51</v>
      </c>
      <c r="P81" s="4"/>
      <c r="Q81" s="139" t="s">
        <v>58</v>
      </c>
      <c r="R81" s="139" t="s">
        <v>62</v>
      </c>
      <c r="S81" s="139" t="s">
        <v>66</v>
      </c>
      <c r="T81" s="88" t="s">
        <v>70</v>
      </c>
      <c r="U81" s="5"/>
      <c r="V81" s="3"/>
      <c r="X81" s="3"/>
      <c r="Y81" s="3"/>
      <c r="Z81" s="3"/>
      <c r="AA81" s="3"/>
      <c r="AB81" s="3"/>
      <c r="AC81" s="3"/>
      <c r="AD81" s="3"/>
      <c r="AE81" s="3"/>
      <c r="AF81" s="3"/>
      <c r="AG81" s="3"/>
      <c r="AH81" s="3"/>
      <c r="AI81" s="3"/>
      <c r="AJ81" s="3"/>
      <c r="AK81" s="3"/>
      <c r="AL81" s="3"/>
      <c r="AM81" s="3"/>
      <c r="AN81" s="3"/>
      <c r="AO81" s="3"/>
      <c r="AP81" s="178"/>
    </row>
    <row r="82" spans="2:63" ht="15.75" thickBot="1" x14ac:dyDescent="0.3">
      <c r="B82" s="177"/>
      <c r="C82" s="336"/>
      <c r="D82" s="140">
        <v>3</v>
      </c>
      <c r="E82" s="16" t="s">
        <v>41</v>
      </c>
      <c r="F82" s="139" t="s">
        <v>29</v>
      </c>
      <c r="G82" s="139" t="s">
        <v>33</v>
      </c>
      <c r="H82" s="14" t="s">
        <v>37</v>
      </c>
      <c r="I82" s="4"/>
      <c r="J82" s="16">
        <v>3</v>
      </c>
      <c r="K82" s="139">
        <v>1</v>
      </c>
      <c r="L82" s="139">
        <v>1</v>
      </c>
      <c r="M82" s="14">
        <v>2</v>
      </c>
      <c r="O82" s="12" t="s">
        <v>51</v>
      </c>
      <c r="P82" s="4"/>
      <c r="Q82" s="139" t="s">
        <v>59</v>
      </c>
      <c r="R82" s="139" t="s">
        <v>63</v>
      </c>
      <c r="S82" s="139" t="s">
        <v>67</v>
      </c>
      <c r="T82" s="14" t="s">
        <v>71</v>
      </c>
      <c r="U82" s="5"/>
      <c r="V82" s="3"/>
      <c r="X82" s="3"/>
      <c r="Y82" s="3"/>
      <c r="Z82" s="3"/>
      <c r="AA82" s="3"/>
      <c r="AB82" s="3"/>
      <c r="AC82" s="3"/>
      <c r="AD82" s="3"/>
      <c r="AE82" s="3"/>
      <c r="AF82" s="3"/>
      <c r="AG82" s="3"/>
      <c r="AH82" s="3"/>
      <c r="AI82" s="3"/>
      <c r="AJ82" s="3"/>
      <c r="AK82" s="3"/>
      <c r="AL82" s="3"/>
      <c r="AM82" s="3"/>
      <c r="AN82" s="3"/>
      <c r="AO82" s="3"/>
      <c r="AP82" s="178"/>
    </row>
    <row r="83" spans="2:63" x14ac:dyDescent="0.25">
      <c r="B83" s="177"/>
      <c r="C83" s="3"/>
      <c r="D83" s="3"/>
      <c r="E83" s="3"/>
      <c r="F83" s="3"/>
      <c r="G83" s="3"/>
      <c r="H83" s="3"/>
      <c r="I83" s="3"/>
      <c r="J83" s="3"/>
      <c r="K83" s="3"/>
      <c r="L83" s="3"/>
      <c r="M83" s="3"/>
      <c r="N83" s="3"/>
      <c r="O83" s="3"/>
      <c r="P83" s="3"/>
      <c r="Q83" s="6"/>
      <c r="R83" s="3"/>
      <c r="S83" s="3"/>
      <c r="T83" s="3"/>
      <c r="U83" s="3"/>
      <c r="V83" s="3"/>
      <c r="X83" s="3"/>
      <c r="Z83" s="3"/>
      <c r="AA83" s="3"/>
      <c r="AB83" s="3"/>
      <c r="AC83" s="3"/>
      <c r="AD83" s="3"/>
      <c r="AE83" s="3"/>
      <c r="AF83" s="3"/>
      <c r="AG83" s="3"/>
      <c r="AH83" s="3"/>
      <c r="AI83" s="3"/>
      <c r="AJ83" s="3"/>
      <c r="AK83" s="3"/>
      <c r="AL83" s="3"/>
      <c r="AM83" s="3"/>
      <c r="AN83" s="3"/>
      <c r="AO83" s="3"/>
      <c r="AP83" s="178"/>
    </row>
    <row r="84" spans="2:63" x14ac:dyDescent="0.25">
      <c r="B84" s="177"/>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178"/>
    </row>
    <row r="85" spans="2:63" x14ac:dyDescent="0.25">
      <c r="B85" s="177"/>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178"/>
    </row>
    <row r="86" spans="2:63" x14ac:dyDescent="0.25">
      <c r="B86" s="177"/>
      <c r="C86" s="12" t="s">
        <v>52</v>
      </c>
      <c r="D86" s="3"/>
      <c r="E86" s="141">
        <f ca="1">M70</f>
        <v>147</v>
      </c>
      <c r="F86" s="141"/>
      <c r="G86" s="12" t="s">
        <v>299</v>
      </c>
      <c r="H86" s="3"/>
      <c r="I86" s="141">
        <f ca="1">N70</f>
        <v>69</v>
      </c>
      <c r="J86" s="141"/>
      <c r="K86" s="12" t="s">
        <v>301</v>
      </c>
      <c r="L86" s="3"/>
      <c r="M86" s="141">
        <f ca="1">O70</f>
        <v>133</v>
      </c>
      <c r="N86" s="141"/>
      <c r="O86" s="12" t="s">
        <v>302</v>
      </c>
      <c r="P86" s="3"/>
      <c r="Q86" s="141">
        <f ca="1">P70</f>
        <v>216</v>
      </c>
      <c r="R86" s="3"/>
      <c r="S86" s="3"/>
      <c r="T86" s="3"/>
      <c r="U86" s="3"/>
      <c r="V86" s="3"/>
      <c r="W86" s="3"/>
      <c r="X86" s="3"/>
      <c r="Y86" s="3"/>
      <c r="Z86" s="3"/>
      <c r="AA86" s="3"/>
      <c r="AB86" s="3"/>
      <c r="AC86" s="3"/>
      <c r="AD86" s="3"/>
      <c r="AE86" s="3"/>
      <c r="AF86" s="3"/>
      <c r="AG86" s="3"/>
      <c r="AH86" s="3"/>
      <c r="AI86" s="3"/>
      <c r="AJ86" s="3"/>
      <c r="AK86" s="3"/>
      <c r="AL86" s="3"/>
      <c r="AM86" s="3"/>
      <c r="AN86" s="3"/>
      <c r="AO86" s="3"/>
      <c r="AP86" s="178"/>
    </row>
    <row r="87" spans="2:63" ht="21" x14ac:dyDescent="0.25">
      <c r="B87" s="177"/>
      <c r="C87" s="12" t="s">
        <v>53</v>
      </c>
      <c r="D87" s="150" t="s">
        <v>8</v>
      </c>
      <c r="E87" s="141">
        <f ca="1">M71</f>
        <v>2</v>
      </c>
      <c r="F87" s="141"/>
      <c r="G87" s="12" t="s">
        <v>300</v>
      </c>
      <c r="H87" s="150" t="s">
        <v>8</v>
      </c>
      <c r="I87" s="141">
        <f ca="1">N71</f>
        <v>33</v>
      </c>
      <c r="J87" s="141"/>
      <c r="K87" s="12" t="s">
        <v>304</v>
      </c>
      <c r="L87" s="150" t="s">
        <v>8</v>
      </c>
      <c r="M87" s="141">
        <f ca="1">O71</f>
        <v>113</v>
      </c>
      <c r="N87" s="141"/>
      <c r="O87" s="12" t="s">
        <v>308</v>
      </c>
      <c r="P87" s="150" t="s">
        <v>8</v>
      </c>
      <c r="Q87" s="141">
        <f ca="1">P71</f>
        <v>59</v>
      </c>
      <c r="R87" s="3"/>
      <c r="S87" s="3"/>
      <c r="T87" s="3"/>
      <c r="U87" s="3"/>
      <c r="V87" s="3"/>
      <c r="W87" s="3"/>
      <c r="X87" s="3"/>
      <c r="Y87" s="3"/>
      <c r="Z87" s="3"/>
      <c r="AA87" s="3"/>
      <c r="AB87" s="3"/>
      <c r="AC87" s="3"/>
      <c r="AD87" s="3"/>
      <c r="AE87" s="3"/>
      <c r="AF87" s="3"/>
      <c r="AG87" s="3"/>
      <c r="AH87" s="3"/>
      <c r="AI87" s="3"/>
      <c r="AJ87" s="3"/>
      <c r="AK87" s="3"/>
      <c r="AL87" s="3"/>
      <c r="AM87" s="3"/>
      <c r="AN87" s="3"/>
      <c r="AO87" s="3"/>
      <c r="AP87" s="178"/>
    </row>
    <row r="88" spans="2:63" x14ac:dyDescent="0.25">
      <c r="B88" s="177"/>
      <c r="C88" s="12" t="s">
        <v>54</v>
      </c>
      <c r="D88" s="3"/>
      <c r="E88" s="141">
        <f ca="1">M72</f>
        <v>51</v>
      </c>
      <c r="F88" s="141"/>
      <c r="G88" s="12" t="s">
        <v>303</v>
      </c>
      <c r="H88" s="3"/>
      <c r="I88" s="141">
        <f ca="1">N72</f>
        <v>21</v>
      </c>
      <c r="J88" s="141"/>
      <c r="K88" s="12" t="s">
        <v>306</v>
      </c>
      <c r="L88" s="3"/>
      <c r="M88" s="141">
        <f ca="1">O72</f>
        <v>133</v>
      </c>
      <c r="N88" s="141"/>
      <c r="O88" s="12" t="s">
        <v>309</v>
      </c>
      <c r="P88" s="3"/>
      <c r="Q88" s="141">
        <f ca="1">P72</f>
        <v>247</v>
      </c>
      <c r="R88" s="3"/>
      <c r="S88" s="3"/>
      <c r="T88" s="3"/>
      <c r="U88" s="3"/>
      <c r="V88" s="3"/>
      <c r="W88" s="3"/>
      <c r="X88" s="3"/>
      <c r="Y88" s="3"/>
      <c r="Z88" s="3"/>
      <c r="AA88" s="3"/>
      <c r="AB88" s="3"/>
      <c r="AC88" s="3"/>
      <c r="AD88" s="3"/>
      <c r="AE88" s="3"/>
      <c r="AF88" s="3"/>
      <c r="AG88" s="3"/>
      <c r="AH88" s="3"/>
      <c r="AI88" s="3"/>
      <c r="AJ88" s="3"/>
      <c r="AK88" s="3"/>
      <c r="AL88" s="3"/>
      <c r="AM88" s="3"/>
      <c r="AN88" s="3"/>
      <c r="AO88" s="3"/>
      <c r="AP88" s="178"/>
    </row>
    <row r="89" spans="2:63" x14ac:dyDescent="0.25">
      <c r="B89" s="177"/>
      <c r="C89" s="12" t="s">
        <v>55</v>
      </c>
      <c r="D89" s="3"/>
      <c r="E89" s="141">
        <f ca="1">M73</f>
        <v>216</v>
      </c>
      <c r="F89" s="141"/>
      <c r="G89" s="12" t="s">
        <v>305</v>
      </c>
      <c r="H89" s="3"/>
      <c r="I89" s="141">
        <f ca="1">N73</f>
        <v>168</v>
      </c>
      <c r="J89" s="141"/>
      <c r="K89" s="12" t="s">
        <v>307</v>
      </c>
      <c r="L89" s="3"/>
      <c r="M89" s="141">
        <f ca="1">O73</f>
        <v>83</v>
      </c>
      <c r="N89" s="141"/>
      <c r="O89" s="12" t="s">
        <v>310</v>
      </c>
      <c r="P89" s="3"/>
      <c r="Q89" s="141">
        <f ca="1">P73</f>
        <v>168</v>
      </c>
      <c r="R89" s="3"/>
      <c r="S89" s="3"/>
      <c r="T89" s="3"/>
      <c r="U89" s="3"/>
      <c r="V89" s="3"/>
      <c r="W89" s="3"/>
      <c r="X89" s="3"/>
      <c r="Y89" s="3"/>
      <c r="Z89" s="3"/>
      <c r="AA89" s="3"/>
      <c r="AB89" s="3"/>
      <c r="AC89" s="3"/>
      <c r="AD89" s="3"/>
      <c r="AE89" s="3"/>
      <c r="AF89" s="3"/>
      <c r="AG89" s="3"/>
      <c r="AH89" s="3"/>
      <c r="AI89" s="3"/>
      <c r="AJ89" s="3"/>
      <c r="AK89" s="3"/>
      <c r="AL89" s="3"/>
      <c r="AM89" s="3"/>
      <c r="AN89" s="3"/>
      <c r="AO89" s="3"/>
      <c r="AP89" s="178"/>
      <c r="AQ89" s="109"/>
      <c r="AR89" s="109"/>
      <c r="AS89" s="109"/>
      <c r="AT89" s="109"/>
      <c r="AU89" s="109"/>
      <c r="AV89" s="109"/>
      <c r="AW89" s="109"/>
      <c r="AX89" s="109"/>
      <c r="AY89" s="109"/>
      <c r="AZ89" s="109"/>
      <c r="BA89" s="109"/>
      <c r="BB89" s="109"/>
      <c r="BC89" s="109"/>
      <c r="BD89" s="109"/>
      <c r="BE89" s="109"/>
      <c r="BF89" s="109"/>
      <c r="BG89" s="109"/>
      <c r="BH89" s="109"/>
      <c r="BI89" s="109"/>
      <c r="BJ89" s="109"/>
      <c r="BK89" s="109"/>
    </row>
    <row r="90" spans="2:63" x14ac:dyDescent="0.25">
      <c r="B90" s="177"/>
      <c r="C90" s="3"/>
      <c r="D90" s="3"/>
      <c r="E90" s="3"/>
      <c r="F90" s="3"/>
      <c r="G90" s="3"/>
      <c r="H90" s="3"/>
      <c r="I90" s="28"/>
      <c r="J90" s="28"/>
      <c r="K90" s="28"/>
      <c r="L90" s="28"/>
      <c r="M90" s="28"/>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178"/>
      <c r="AQ90" s="109"/>
      <c r="AR90" s="109"/>
      <c r="AS90" s="109"/>
      <c r="AT90" s="109"/>
      <c r="AU90" s="109"/>
      <c r="AV90" s="109"/>
      <c r="AW90" s="109"/>
      <c r="AX90" s="109"/>
      <c r="AY90" s="109"/>
      <c r="AZ90" s="109"/>
      <c r="BA90" s="109"/>
      <c r="BB90" s="109"/>
      <c r="BC90" s="109"/>
      <c r="BD90" s="109"/>
      <c r="BE90" s="109"/>
      <c r="BF90" s="109"/>
      <c r="BG90" s="109"/>
      <c r="BH90" s="109"/>
      <c r="BI90" s="109"/>
      <c r="BJ90" s="109"/>
      <c r="BK90" s="109"/>
    </row>
    <row r="91" spans="2:63" x14ac:dyDescent="0.25">
      <c r="B91" s="177"/>
      <c r="C91" s="3"/>
      <c r="D91" s="339" t="s">
        <v>56</v>
      </c>
      <c r="E91" s="339"/>
      <c r="F91" s="339"/>
      <c r="G91" s="339"/>
      <c r="H91" s="139" t="s">
        <v>298</v>
      </c>
      <c r="I91" s="339" t="s">
        <v>256</v>
      </c>
      <c r="J91" s="339"/>
      <c r="K91" s="339"/>
      <c r="L91" s="139"/>
      <c r="M91" s="3"/>
      <c r="N91" s="339" t="s">
        <v>60</v>
      </c>
      <c r="O91" s="339"/>
      <c r="P91" s="339"/>
      <c r="Q91" s="339"/>
      <c r="R91" s="139" t="s">
        <v>298</v>
      </c>
      <c r="S91" s="339" t="s">
        <v>256</v>
      </c>
      <c r="T91" s="339"/>
      <c r="U91" s="339"/>
      <c r="V91" s="139"/>
      <c r="W91" s="3"/>
      <c r="X91" s="339" t="s">
        <v>64</v>
      </c>
      <c r="Y91" s="339"/>
      <c r="Z91" s="339"/>
      <c r="AA91" s="339"/>
      <c r="AB91" s="139" t="s">
        <v>298</v>
      </c>
      <c r="AC91" s="339" t="s">
        <v>256</v>
      </c>
      <c r="AD91" s="339"/>
      <c r="AE91" s="339"/>
      <c r="AF91" s="28"/>
      <c r="AG91" s="3"/>
      <c r="AH91" s="339" t="s">
        <v>68</v>
      </c>
      <c r="AI91" s="339"/>
      <c r="AJ91" s="339"/>
      <c r="AK91" s="339"/>
      <c r="AL91" s="139"/>
      <c r="AM91" s="3"/>
      <c r="AN91" s="3"/>
      <c r="AO91" s="28"/>
      <c r="AP91" s="178"/>
      <c r="AQ91" s="109"/>
      <c r="AR91" s="361"/>
      <c r="AS91" s="361"/>
      <c r="AT91" s="361"/>
      <c r="AU91" s="361"/>
      <c r="AV91" s="109"/>
      <c r="AW91" s="361"/>
      <c r="AX91" s="361"/>
      <c r="AY91" s="361"/>
      <c r="AZ91" s="361"/>
      <c r="BA91" s="109"/>
      <c r="BB91" s="361"/>
      <c r="BC91" s="361"/>
      <c r="BD91" s="361"/>
      <c r="BE91" s="361"/>
      <c r="BF91" s="109"/>
      <c r="BG91" s="361"/>
      <c r="BH91" s="361"/>
      <c r="BI91" s="361"/>
      <c r="BJ91" s="361"/>
      <c r="BK91" s="109"/>
    </row>
    <row r="92" spans="2:63" x14ac:dyDescent="0.25">
      <c r="B92" s="371" t="s">
        <v>259</v>
      </c>
      <c r="C92" s="3"/>
      <c r="D92" s="139">
        <f ca="1">$E$86</f>
        <v>147</v>
      </c>
      <c r="E92" s="139">
        <f ca="1">$E$87</f>
        <v>2</v>
      </c>
      <c r="F92" s="139">
        <f ca="1">$E$88</f>
        <v>51</v>
      </c>
      <c r="G92" s="139">
        <f ca="1">$E$89</f>
        <v>216</v>
      </c>
      <c r="H92" s="139" t="str">
        <f ca="1">LEN(_xlfn.BASE(D92,2,8))&amp;","&amp;LEN(_xlfn.BASE(E92,2,8))&amp;","&amp;LEN(_xlfn.BASE(F92,2,8))&amp;","&amp;LEN(_xlfn.BASE(G92,2,8))</f>
        <v>8,8,8,8</v>
      </c>
      <c r="I92" s="339" t="str">
        <f ca="1">_xlfn.BASE(D92,2,8)&amp;","&amp;_xlfn.BASE(E92,2,8)&amp;","&amp;_xlfn.BASE(F92,2,8)&amp;","&amp;_xlfn.BASE(G92,2,8)</f>
        <v>10010011,00000010,00110011,11011000</v>
      </c>
      <c r="J92" s="339"/>
      <c r="K92" s="339"/>
      <c r="L92" s="139"/>
      <c r="M92" s="3"/>
      <c r="N92" s="139">
        <f ca="1">$I$86</f>
        <v>69</v>
      </c>
      <c r="O92" s="139">
        <f ca="1">$I$87</f>
        <v>33</v>
      </c>
      <c r="P92" s="139">
        <f ca="1">$I$88</f>
        <v>21</v>
      </c>
      <c r="Q92" s="139">
        <f ca="1">$I$89</f>
        <v>168</v>
      </c>
      <c r="R92" s="139" t="str">
        <f ca="1">LEN(_xlfn.BASE(N92,2,8))&amp;","&amp;LEN(_xlfn.BASE(O92,2,8))&amp;","&amp;LEN(_xlfn.BASE(P92,2,8))&amp;","&amp;LEN(_xlfn.BASE(Q92,2,8))</f>
        <v>8,8,8,8</v>
      </c>
      <c r="S92" s="339" t="str">
        <f ca="1">_xlfn.BASE(N92,2,8)&amp;","&amp;_xlfn.BASE(O92,2,8)&amp;","&amp;_xlfn.BASE(P92,2,8)&amp;","&amp;_xlfn.BASE(Q92,2,8)</f>
        <v>01000101,00100001,00010101,10101000</v>
      </c>
      <c r="T92" s="339"/>
      <c r="U92" s="339"/>
      <c r="V92" s="139"/>
      <c r="W92" s="3"/>
      <c r="X92" s="139">
        <f ca="1">$M$86</f>
        <v>133</v>
      </c>
      <c r="Y92" s="139">
        <f ca="1">$M$87</f>
        <v>113</v>
      </c>
      <c r="Z92" s="139">
        <f ca="1">$M$88</f>
        <v>133</v>
      </c>
      <c r="AA92" s="139">
        <f ca="1">$M$89</f>
        <v>83</v>
      </c>
      <c r="AB92" s="139" t="str">
        <f ca="1">LEN(_xlfn.BASE(X92,2,8))&amp;","&amp;LEN(_xlfn.BASE(Y92,2,8))&amp;","&amp;LEN(_xlfn.BASE(Z92,2,8))&amp;","&amp;LEN(_xlfn.BASE(AA92,2,8))</f>
        <v>8,8,8,8</v>
      </c>
      <c r="AC92" s="339" t="str">
        <f ca="1">_xlfn.BASE(X92,2,8)&amp;","&amp;_xlfn.BASE(Y92,2,8)&amp;","&amp;_xlfn.BASE(Z92,2,8)&amp;","&amp;_xlfn.BASE(AA92,2,8)</f>
        <v>10000101,01110001,10000101,01010011</v>
      </c>
      <c r="AD92" s="339"/>
      <c r="AE92" s="339"/>
      <c r="AF92" s="28"/>
      <c r="AG92" s="3"/>
      <c r="AH92" s="139">
        <f ca="1">$Q$86</f>
        <v>216</v>
      </c>
      <c r="AI92" s="139">
        <f ca="1">$Q$87</f>
        <v>59</v>
      </c>
      <c r="AJ92" s="139">
        <f ca="1">$Q$88</f>
        <v>247</v>
      </c>
      <c r="AK92" s="139">
        <f ca="1">$Q$89</f>
        <v>168</v>
      </c>
      <c r="AL92" s="139" t="str">
        <f ca="1">LEN(_xlfn.BASE(AH92,2,8))&amp;","&amp;LEN(_xlfn.BASE(AI92,2,8))&amp;","&amp;LEN(_xlfn.BASE(AJ92,2,8))&amp;","&amp;LEN(_xlfn.BASE(AK92,2,8))</f>
        <v>8,8,8,8</v>
      </c>
      <c r="AM92" s="339" t="str">
        <f ca="1">_xlfn.BASE(AH92,2,8)&amp;","&amp;_xlfn.BASE(AI92,2,8)&amp;","&amp;_xlfn.BASE(AJ92,2,8)&amp;","&amp;_xlfn.BASE(AK92,2,8)</f>
        <v>11011000,00111011,11110111,10101000</v>
      </c>
      <c r="AN92" s="339"/>
      <c r="AO92" s="339"/>
      <c r="AP92" s="178"/>
      <c r="AQ92" s="109"/>
      <c r="AR92" s="109"/>
      <c r="AS92" s="109"/>
      <c r="AT92" s="109"/>
      <c r="AU92" s="109"/>
      <c r="AV92" s="109"/>
      <c r="AW92" s="109"/>
      <c r="AX92" s="109"/>
      <c r="AY92" s="109"/>
      <c r="AZ92" s="109"/>
      <c r="BA92" s="109"/>
      <c r="BB92" s="109"/>
      <c r="BC92" s="109"/>
      <c r="BD92" s="109"/>
      <c r="BE92" s="109"/>
      <c r="BF92" s="109"/>
      <c r="BG92" s="109"/>
      <c r="BH92" s="109"/>
      <c r="BI92" s="109"/>
      <c r="BJ92" s="109"/>
      <c r="BK92" s="109"/>
    </row>
    <row r="93" spans="2:63" x14ac:dyDescent="0.25">
      <c r="B93" s="371"/>
      <c r="C93" s="139" t="s">
        <v>312</v>
      </c>
      <c r="D93" s="145">
        <v>2</v>
      </c>
      <c r="E93" s="145">
        <v>3</v>
      </c>
      <c r="F93" s="145">
        <v>1</v>
      </c>
      <c r="G93" s="145">
        <v>1</v>
      </c>
      <c r="H93" s="323" t="str">
        <f>LEN(_xlfn.BASE(D93,2,4))&amp;","&amp;LEN(_xlfn.BASE(E93,2,4))&amp;","&amp;LEN(_xlfn.BASE(F93,2,4))&amp;","&amp;LEN(_xlfn.BASE(G93,2,4))</f>
        <v>4,4,4,4</v>
      </c>
      <c r="I93" s="366" t="str">
        <f>_xlfn.BASE(D93,2,4)&amp;","&amp;_xlfn.BASE(E93,2,4)&amp;","&amp;_xlfn.BASE(F93,2,4)&amp;","&amp;_xlfn.BASE(G93,2,4)</f>
        <v>0010,0011,0001,0001</v>
      </c>
      <c r="J93" s="366"/>
      <c r="K93" s="366"/>
      <c r="L93" s="139"/>
      <c r="M93" s="139" t="s">
        <v>312</v>
      </c>
      <c r="N93" s="145">
        <v>2</v>
      </c>
      <c r="O93" s="145">
        <v>3</v>
      </c>
      <c r="P93" s="145">
        <v>1</v>
      </c>
      <c r="Q93" s="145">
        <v>1</v>
      </c>
      <c r="R93" s="323" t="str">
        <f>LEN(_xlfn.BASE(N93,2,4))&amp;","&amp;LEN(_xlfn.BASE(O93,2,4))&amp;","&amp;LEN(_xlfn.BASE(P93,2,4))&amp;","&amp;LEN(_xlfn.BASE(Q93,2,4))</f>
        <v>4,4,4,4</v>
      </c>
      <c r="S93" s="366" t="str">
        <f>_xlfn.BASE(N93,2,4)&amp;","&amp;_xlfn.BASE(O93,2,4)&amp;","&amp;_xlfn.BASE(P93,2,4)&amp;","&amp;_xlfn.BASE(Q93,2,4)</f>
        <v>0010,0011,0001,0001</v>
      </c>
      <c r="T93" s="366"/>
      <c r="U93" s="366"/>
      <c r="V93" s="139"/>
      <c r="W93" s="139" t="s">
        <v>312</v>
      </c>
      <c r="X93" s="145">
        <v>2</v>
      </c>
      <c r="Y93" s="145">
        <v>3</v>
      </c>
      <c r="Z93" s="145">
        <v>1</v>
      </c>
      <c r="AA93" s="145">
        <v>1</v>
      </c>
      <c r="AB93" s="323" t="str">
        <f>LEN(_xlfn.BASE(X93,2,4))&amp;","&amp;LEN(_xlfn.BASE(Y93,2,4))&amp;","&amp;LEN(_xlfn.BASE(Z93,2,4))&amp;","&amp;LEN(_xlfn.BASE(AA93,2,4))</f>
        <v>4,4,4,4</v>
      </c>
      <c r="AC93" s="366" t="str">
        <f>_xlfn.BASE(X93,2,4)&amp;","&amp;_xlfn.BASE(Y93,2,4)&amp;","&amp;_xlfn.BASE(Z93,2,4)&amp;","&amp;_xlfn.BASE(AA93,2,4)</f>
        <v>0010,0011,0001,0001</v>
      </c>
      <c r="AD93" s="366"/>
      <c r="AE93" s="366"/>
      <c r="AF93" s="3"/>
      <c r="AG93" s="139" t="s">
        <v>312</v>
      </c>
      <c r="AH93" s="145">
        <v>2</v>
      </c>
      <c r="AI93" s="145">
        <v>3</v>
      </c>
      <c r="AJ93" s="145">
        <v>1</v>
      </c>
      <c r="AK93" s="145">
        <v>1</v>
      </c>
      <c r="AL93" s="323" t="str">
        <f>LEN(_xlfn.BASE(AH93,2,4))&amp;","&amp;LEN(_xlfn.BASE(AI93,2,4))&amp;","&amp;LEN(_xlfn.BASE(AJ93,2,4))&amp;","&amp;LEN(_xlfn.BASE(AK93,2,4))</f>
        <v>4,4,4,4</v>
      </c>
      <c r="AM93" s="366" t="str">
        <f>_xlfn.BASE(AH93,2,4)&amp;","&amp;_xlfn.BASE(AI93,2,4)&amp;","&amp;_xlfn.BASE(AJ93,2,4)&amp;","&amp;_xlfn.BASE(AK93,2,4)</f>
        <v>0010,0011,0001,0001</v>
      </c>
      <c r="AN93" s="366"/>
      <c r="AO93" s="366"/>
      <c r="AP93" s="179"/>
      <c r="AQ93" s="109"/>
      <c r="AR93" s="109"/>
      <c r="AS93" s="109"/>
      <c r="AT93" s="109"/>
      <c r="AU93" s="109"/>
      <c r="AV93" s="109"/>
      <c r="AW93" s="109"/>
      <c r="AX93" s="109"/>
      <c r="AY93" s="109"/>
      <c r="AZ93" s="109"/>
      <c r="BA93" s="109"/>
      <c r="BB93" s="109"/>
      <c r="BC93" s="109"/>
      <c r="BD93" s="109"/>
      <c r="BE93" s="109"/>
      <c r="BF93" s="109"/>
      <c r="BG93" s="109"/>
      <c r="BH93" s="109"/>
      <c r="BI93" s="109"/>
      <c r="BJ93" s="109"/>
      <c r="BK93" s="109"/>
    </row>
    <row r="94" spans="2:63" x14ac:dyDescent="0.25">
      <c r="B94" s="371" t="s">
        <v>311</v>
      </c>
      <c r="C94" s="3"/>
      <c r="D94" s="139">
        <f ca="1">D93*D92</f>
        <v>294</v>
      </c>
      <c r="E94" s="139">
        <f ca="1">_xlfn.BITXOR(2*E92,E92)</f>
        <v>6</v>
      </c>
      <c r="F94" s="139">
        <f ca="1">F92*F93</f>
        <v>51</v>
      </c>
      <c r="G94" s="139">
        <f ca="1">G92*G93</f>
        <v>216</v>
      </c>
      <c r="H94" s="139" t="str">
        <f ca="1">LEN(_xlfn.BASE(D94,2,8))&amp;","&amp;LEN(_xlfn.BASE(E94,2,8))&amp;","&amp;LEN(_xlfn.BASE(F94,2,8))&amp;","&amp;LEN(_xlfn.BASE(G94,2,8))</f>
        <v>9,8,8,8</v>
      </c>
      <c r="I94" s="339" t="str">
        <f ca="1">_xlfn.BASE(D94,2,8)&amp;","&amp;_xlfn.BASE(E94,2,8)&amp;","&amp;_xlfn.BASE(F94,2,8)&amp;","&amp;_xlfn.BASE(G94,2,8)</f>
        <v>100100110,00000110,00110011,11011000</v>
      </c>
      <c r="J94" s="339"/>
      <c r="K94" s="339"/>
      <c r="L94" s="139"/>
      <c r="M94" s="3"/>
      <c r="N94" s="139">
        <f ca="1">N93*N92</f>
        <v>138</v>
      </c>
      <c r="O94" s="139">
        <f ca="1">_xlfn.BITXOR(2*O92,O92)</f>
        <v>99</v>
      </c>
      <c r="P94" s="139">
        <f ca="1">P92*P93</f>
        <v>21</v>
      </c>
      <c r="Q94" s="139">
        <f ca="1">Q92*Q93</f>
        <v>168</v>
      </c>
      <c r="R94" s="139" t="str">
        <f ca="1">LEN(_xlfn.BASE(N94,2,8))&amp;","&amp;LEN(_xlfn.BASE(O94,2,8))&amp;","&amp;LEN(_xlfn.BASE(P94,2,8))&amp;","&amp;LEN(_xlfn.BASE(Q94,2,8))</f>
        <v>8,8,8,8</v>
      </c>
      <c r="S94" s="339" t="str">
        <f ca="1">_xlfn.BASE(N94,2,8)&amp;","&amp;_xlfn.BASE(O94,2,8)&amp;","&amp;_xlfn.BASE(P94,2,8)&amp;","&amp;_xlfn.BASE(Q94,2,8)</f>
        <v>10001010,01100011,00010101,10101000</v>
      </c>
      <c r="T94" s="339"/>
      <c r="U94" s="339"/>
      <c r="V94" s="139"/>
      <c r="W94" s="3"/>
      <c r="X94" s="139">
        <f ca="1">X93*X92</f>
        <v>266</v>
      </c>
      <c r="Y94" s="139">
        <f ca="1">_xlfn.BITXOR(2*Y92,Y92)</f>
        <v>147</v>
      </c>
      <c r="Z94" s="139">
        <f ca="1">Z92*Z93</f>
        <v>133</v>
      </c>
      <c r="AA94" s="139">
        <f ca="1">AA92*AA93</f>
        <v>83</v>
      </c>
      <c r="AB94" s="139" t="str">
        <f ca="1">LEN(_xlfn.BASE(X94,2,8))&amp;","&amp;LEN(_xlfn.BASE(Y94,2,8))&amp;","&amp;LEN(_xlfn.BASE(Z94,2,8))&amp;","&amp;LEN(_xlfn.BASE(AA94,2,8))</f>
        <v>9,8,8,8</v>
      </c>
      <c r="AC94" s="339" t="str">
        <f ca="1">_xlfn.BASE(X94,2,8)&amp;","&amp;_xlfn.BASE(Y94,2,8)&amp;","&amp;_xlfn.BASE(Z94,2,8)&amp;","&amp;_xlfn.BASE(AA94,2,8)</f>
        <v>100001010,10010011,10000101,01010011</v>
      </c>
      <c r="AD94" s="339"/>
      <c r="AE94" s="339"/>
      <c r="AF94" s="28"/>
      <c r="AG94" s="3"/>
      <c r="AH94" s="139">
        <f ca="1">AH93*AH92</f>
        <v>432</v>
      </c>
      <c r="AI94" s="139">
        <f ca="1">_xlfn.BITXOR(2*AI92,AI92)</f>
        <v>77</v>
      </c>
      <c r="AJ94" s="139">
        <f ca="1">AJ92*AJ93</f>
        <v>247</v>
      </c>
      <c r="AK94" s="139">
        <f ca="1">AK92*AK93</f>
        <v>168</v>
      </c>
      <c r="AL94" s="139" t="str">
        <f ca="1">LEN(_xlfn.BASE(AH94,2,8))&amp;","&amp;LEN(_xlfn.BASE(AI94,2,8))&amp;","&amp;LEN(_xlfn.BASE(AJ94,2,8))&amp;","&amp;LEN(_xlfn.BASE(AK94,2,8))</f>
        <v>9,8,8,8</v>
      </c>
      <c r="AM94" s="372" t="str">
        <f ca="1">_xlfn.BASE(AH94,2,8)&amp;","&amp;_xlfn.BASE(AI94,2,8)&amp;","&amp;_xlfn.BASE(AJ94,2,8)&amp;","&amp;_xlfn.BASE(AK94,2,8)</f>
        <v>110110000,01001101,11110111,10101000</v>
      </c>
      <c r="AN94" s="372"/>
      <c r="AO94" s="372"/>
      <c r="AP94" s="179"/>
      <c r="AQ94" s="109"/>
      <c r="AR94" s="109"/>
      <c r="AS94" s="109"/>
      <c r="AT94" s="109"/>
      <c r="AU94" s="109"/>
      <c r="AV94" s="109"/>
      <c r="AW94" s="109"/>
      <c r="AX94" s="109"/>
      <c r="AY94" s="109"/>
      <c r="AZ94" s="109"/>
      <c r="BA94" s="109"/>
      <c r="BB94" s="109"/>
      <c r="BC94" s="109"/>
      <c r="BD94" s="109"/>
      <c r="BE94" s="109"/>
      <c r="BF94" s="109"/>
      <c r="BG94" s="109"/>
      <c r="BH94" s="109"/>
      <c r="BI94" s="109"/>
      <c r="BJ94" s="109"/>
      <c r="BK94" s="109"/>
    </row>
    <row r="95" spans="2:63" x14ac:dyDescent="0.25">
      <c r="B95" s="371"/>
      <c r="C95" s="145" t="s">
        <v>72</v>
      </c>
      <c r="D95" s="145">
        <f ca="1">IF(LEN(_xlfn.BASE(D94,2,8))-9&lt;0,D94,IF(LEN(_xlfn.BASE(D94,2,8))-9=0,283,IF(LEN(_xlfn.BASE(D94,2,8))-9=1,566,IF(LEN(_xlfn.BASE(D94,2,8))-9=2,1132,IF(LEN(_xlfn.BASE(D94,2,8))-9=3,2264)))))</f>
        <v>283</v>
      </c>
      <c r="E95" s="145">
        <f t="shared" ref="E95:F95" ca="1" si="18">IF(LEN(_xlfn.BASE(E94,2,8))-9&lt;0,E94,IF(LEN(_xlfn.BASE(E94,2,8))-9=0,283,IF(LEN(_xlfn.BASE(E94,2,8))-9=1,566,IF(LEN(_xlfn.BASE(E94,2,8))-9=2,1132,IF(LEN(_xlfn.BASE(E94,2,8))-9=3,2264)))))</f>
        <v>6</v>
      </c>
      <c r="F95" s="145">
        <f t="shared" ca="1" si="18"/>
        <v>51</v>
      </c>
      <c r="G95" s="145">
        <f ca="1">IF(LEN(_xlfn.BASE(G94,2,8))-9&lt;0,G94,IF(LEN(_xlfn.BASE(G94,2,8))-9=0,283,IF(LEN(_xlfn.BASE(G94,2,8))-9=1,566,IF(LEN(_xlfn.BASE(G94,2,8))-9=2,1132,IF(LEN(_xlfn.BASE(G94,2,8))-9=3,2264)))))</f>
        <v>216</v>
      </c>
      <c r="H95" s="145" t="str">
        <f t="shared" ref="H95:H100" ca="1" si="19">LEN(_xlfn.BASE(D95,2,8))&amp;","&amp;LEN(_xlfn.BASE(E95,2,8))&amp;","&amp;LEN(_xlfn.BASE(F95,2,8))&amp;","&amp;LEN(_xlfn.BASE(G95,2,8))</f>
        <v>9,8,8,8</v>
      </c>
      <c r="I95" s="366" t="str">
        <f t="shared" ref="I95:I100" ca="1" si="20">_xlfn.BASE(D95,2,8)&amp;","&amp;_xlfn.BASE(E95,2,8)&amp;","&amp;_xlfn.BASE(F95,2,8)&amp;","&amp;_xlfn.BASE(G95,2,8)</f>
        <v>100011011,00000110,00110011,11011000</v>
      </c>
      <c r="J95" s="366"/>
      <c r="K95" s="366"/>
      <c r="L95" s="139"/>
      <c r="M95" s="139" t="s">
        <v>72</v>
      </c>
      <c r="N95" s="145">
        <f ca="1">IF(LEN(_xlfn.BASE(N94,2,8))-9&lt;0,N94,IF(LEN(_xlfn.BASE(N94,2,8))-9=0,283,IF(LEN(_xlfn.BASE(N94,2,8))-9=1,566,IF(LEN(_xlfn.BASE(N94,2,8))-9=2,1132,IF(LEN(_xlfn.BASE(N94,2,8))-9=3,2264)))))</f>
        <v>138</v>
      </c>
      <c r="O95" s="145">
        <f t="shared" ref="O95" ca="1" si="21">IF(LEN(_xlfn.BASE(O94,2,8))-9&lt;0,O94,IF(LEN(_xlfn.BASE(O94,2,8))-9=0,283,IF(LEN(_xlfn.BASE(O94,2,8))-9=1,566,IF(LEN(_xlfn.BASE(O94,2,8))-9=2,1132,IF(LEN(_xlfn.BASE(O94,2,8))-9=3,2264)))))</f>
        <v>99</v>
      </c>
      <c r="P95" s="145">
        <f t="shared" ref="P95" ca="1" si="22">IF(LEN(_xlfn.BASE(P94,2,8))-9&lt;0,P94,IF(LEN(_xlfn.BASE(P94,2,8))-9=0,283,IF(LEN(_xlfn.BASE(P94,2,8))-9=1,566,IF(LEN(_xlfn.BASE(P94,2,8))-9=2,1132,IF(LEN(_xlfn.BASE(P94,2,8))-9=3,2264)))))</f>
        <v>21</v>
      </c>
      <c r="Q95" s="145">
        <f t="shared" ref="Q95" ca="1" si="23">IF(LEN(_xlfn.BASE(Q94,2,8))-9&lt;0,Q94,IF(LEN(_xlfn.BASE(Q94,2,8))-9=0,283,IF(LEN(_xlfn.BASE(Q94,2,8))-9=1,566,IF(LEN(_xlfn.BASE(Q94,2,8))-9=2,1132,IF(LEN(_xlfn.BASE(Q94,2,8))-9=3,2264)))))</f>
        <v>168</v>
      </c>
      <c r="R95" s="145" t="str">
        <f t="shared" ref="R95:R100" ca="1" si="24">LEN(_xlfn.BASE(N95,2,8))&amp;","&amp;LEN(_xlfn.BASE(O95,2,8))&amp;","&amp;LEN(_xlfn.BASE(P95,2,8))&amp;","&amp;LEN(_xlfn.BASE(Q95,2,8))</f>
        <v>8,8,8,8</v>
      </c>
      <c r="S95" s="366" t="str">
        <f t="shared" ref="S95:S100" ca="1" si="25">_xlfn.BASE(N95,2,8)&amp;","&amp;_xlfn.BASE(O95,2,8)&amp;","&amp;_xlfn.BASE(P95,2,8)&amp;","&amp;_xlfn.BASE(Q95,2,8)</f>
        <v>10001010,01100011,00010101,10101000</v>
      </c>
      <c r="T95" s="366"/>
      <c r="U95" s="366"/>
      <c r="V95" s="139"/>
      <c r="W95" s="139" t="s">
        <v>72</v>
      </c>
      <c r="X95" s="145">
        <f ca="1">IF(LEN(_xlfn.BASE(X94,2,8))-9&lt;0,X94,IF(LEN(_xlfn.BASE(X94,2,8))-9=0,283,IF(LEN(_xlfn.BASE(X94,2,8))-9=1,566,IF(LEN(_xlfn.BASE(X94,2,8))-9=2,1132,IF(LEN(_xlfn.BASE(X94,2,8))-9=3,2264)))))</f>
        <v>283</v>
      </c>
      <c r="Y95" s="145">
        <f t="shared" ref="Y95" ca="1" si="26">IF(LEN(_xlfn.BASE(Y94,2,8))-9&lt;0,Y94,IF(LEN(_xlfn.BASE(Y94,2,8))-9=0,283,IF(LEN(_xlfn.BASE(Y94,2,8))-9=1,566,IF(LEN(_xlfn.BASE(Y94,2,8))-9=2,1132,IF(LEN(_xlfn.BASE(Y94,2,8))-9=3,2264)))))</f>
        <v>147</v>
      </c>
      <c r="Z95" s="145">
        <f t="shared" ref="Z95" ca="1" si="27">IF(LEN(_xlfn.BASE(Z94,2,8))-9&lt;0,Z94,IF(LEN(_xlfn.BASE(Z94,2,8))-9=0,283,IF(LEN(_xlfn.BASE(Z94,2,8))-9=1,566,IF(LEN(_xlfn.BASE(Z94,2,8))-9=2,1132,IF(LEN(_xlfn.BASE(Z94,2,8))-9=3,2264)))))</f>
        <v>133</v>
      </c>
      <c r="AA95" s="145">
        <f t="shared" ref="AA95" ca="1" si="28">IF(LEN(_xlfn.BASE(AA94,2,8))-9&lt;0,AA94,IF(LEN(_xlfn.BASE(AA94,2,8))-9=0,283,IF(LEN(_xlfn.BASE(AA94,2,8))-9=1,566,IF(LEN(_xlfn.BASE(AA94,2,8))-9=2,1132,IF(LEN(_xlfn.BASE(AA94,2,8))-9=3,2264)))))</f>
        <v>83</v>
      </c>
      <c r="AB95" s="145" t="str">
        <f t="shared" ref="AB95" ca="1" si="29">LEN(_xlfn.BASE(X95,2,8))&amp;","&amp;LEN(_xlfn.BASE(Y95,2,8))&amp;","&amp;LEN(_xlfn.BASE(Z95,2,8))&amp;","&amp;LEN(_xlfn.BASE(AA95,2,8))</f>
        <v>9,8,8,8</v>
      </c>
      <c r="AC95" s="366" t="str">
        <f t="shared" ref="AC95:AC100" ca="1" si="30">_xlfn.BASE(X95,2,8)&amp;","&amp;_xlfn.BASE(Y95,2,8)&amp;","&amp;_xlfn.BASE(Z95,2,8)&amp;","&amp;_xlfn.BASE(AA95,2,8)</f>
        <v>100011011,10010011,10000101,01010011</v>
      </c>
      <c r="AD95" s="366"/>
      <c r="AE95" s="366"/>
      <c r="AF95" s="28"/>
      <c r="AG95" s="139" t="s">
        <v>72</v>
      </c>
      <c r="AH95" s="145">
        <f ca="1">IF(LEN(_xlfn.BASE(AH94,2,8))-9&lt;0,AH94,IF(LEN(_xlfn.BASE(AH94,2,8))-9=0,283,IF(LEN(_xlfn.BASE(AH94,2,8))-9=1,566,IF(LEN(_xlfn.BASE(AH94,2,8))-9=2,1132,IF(LEN(_xlfn.BASE(AH94,2,8))-9=3,2264)))))</f>
        <v>283</v>
      </c>
      <c r="AI95" s="145">
        <f t="shared" ref="AI95" ca="1" si="31">IF(LEN(_xlfn.BASE(AI94,2,8))-9&lt;0,AI94,IF(LEN(_xlfn.BASE(AI94,2,8))-9=0,283,IF(LEN(_xlfn.BASE(AI94,2,8))-9=1,566,IF(LEN(_xlfn.BASE(AI94,2,8))-9=2,1132,IF(LEN(_xlfn.BASE(AI94,2,8))-9=3,2264)))))</f>
        <v>77</v>
      </c>
      <c r="AJ95" s="145">
        <f t="shared" ref="AJ95" ca="1" si="32">IF(LEN(_xlfn.BASE(AJ94,2,8))-9&lt;0,AJ94,IF(LEN(_xlfn.BASE(AJ94,2,8))-9=0,283,IF(LEN(_xlfn.BASE(AJ94,2,8))-9=1,566,IF(LEN(_xlfn.BASE(AJ94,2,8))-9=2,1132,IF(LEN(_xlfn.BASE(AJ94,2,8))-9=3,2264)))))</f>
        <v>247</v>
      </c>
      <c r="AK95" s="145">
        <f t="shared" ref="AK95" ca="1" si="33">IF(LEN(_xlfn.BASE(AK94,2,8))-9&lt;0,AK94,IF(LEN(_xlfn.BASE(AK94,2,8))-9=0,283,IF(LEN(_xlfn.BASE(AK94,2,8))-9=1,566,IF(LEN(_xlfn.BASE(AK94,2,8))-9=2,1132,IF(LEN(_xlfn.BASE(AK94,2,8))-9=3,2264)))))</f>
        <v>168</v>
      </c>
      <c r="AL95" s="145" t="str">
        <f t="shared" ref="AL95" ca="1" si="34">LEN(_xlfn.BASE(AH95,2,8))&amp;","&amp;LEN(_xlfn.BASE(AI95,2,8))&amp;","&amp;LEN(_xlfn.BASE(AJ95,2,8))&amp;","&amp;LEN(_xlfn.BASE(AK95,2,8))</f>
        <v>9,8,8,8</v>
      </c>
      <c r="AM95" s="366" t="str">
        <f t="shared" ref="AM95:AM100" ca="1" si="35">_xlfn.BASE(AH95,2,8)&amp;","&amp;_xlfn.BASE(AI95,2,8)&amp;","&amp;_xlfn.BASE(AJ95,2,8)&amp;","&amp;_xlfn.BASE(AK95,2,8)</f>
        <v>100011011,01001101,11110111,10101000</v>
      </c>
      <c r="AN95" s="366"/>
      <c r="AO95" s="366"/>
      <c r="AP95" s="179"/>
      <c r="AQ95" s="109"/>
      <c r="AR95" s="109"/>
      <c r="AS95" s="361"/>
      <c r="AT95" s="361"/>
      <c r="AU95" s="109"/>
      <c r="AV95" s="109"/>
      <c r="AW95" s="109"/>
      <c r="AX95" s="361"/>
      <c r="AY95" s="361"/>
      <c r="AZ95" s="109"/>
      <c r="BA95" s="109"/>
      <c r="BB95" s="109"/>
      <c r="BC95" s="361"/>
      <c r="BD95" s="361"/>
      <c r="BE95" s="109"/>
      <c r="BF95" s="109"/>
      <c r="BG95" s="109"/>
      <c r="BH95" s="361"/>
      <c r="BI95" s="361"/>
      <c r="BJ95" s="109"/>
      <c r="BK95" s="109"/>
    </row>
    <row r="96" spans="2:63" x14ac:dyDescent="0.25">
      <c r="B96" s="371"/>
      <c r="C96" s="139"/>
      <c r="D96" s="139">
        <f ca="1">IF(_xlfn.BITXOR(D94,D95)=0,D94,_xlfn.BITXOR(D94,D95))</f>
        <v>61</v>
      </c>
      <c r="E96" s="139">
        <f ca="1">IF(_xlfn.BITXOR(E94,E95)=0,E94,_xlfn.BITXOR(E94,E95))</f>
        <v>6</v>
      </c>
      <c r="F96" s="139">
        <f ca="1">IF(_xlfn.BITXOR(F94,F95)=0,F94,_xlfn.BITXOR(F94,F95))</f>
        <v>51</v>
      </c>
      <c r="G96" s="139">
        <f ca="1">IF(_xlfn.BITXOR(G94,G95)=0,G94,_xlfn.BITXOR(G94,G95))</f>
        <v>216</v>
      </c>
      <c r="H96" s="139" t="str">
        <f ca="1">LEN(_xlfn.BASE(D96,2,8))&amp;","&amp;LEN(_xlfn.BASE(E96,2,8))&amp;","&amp;LEN(_xlfn.BASE(F96,2,8))&amp;","&amp;LEN(_xlfn.BASE(G96,2,8))</f>
        <v>8,8,8,8</v>
      </c>
      <c r="I96" s="339" t="str">
        <f t="shared" ca="1" si="20"/>
        <v>00111101,00000110,00110011,11011000</v>
      </c>
      <c r="J96" s="339"/>
      <c r="K96" s="339"/>
      <c r="L96" s="139"/>
      <c r="M96" s="3"/>
      <c r="N96" s="139">
        <f ca="1">IF(_xlfn.BITXOR(N94,N95)=0,N94,_xlfn.BITXOR(N94,N95))</f>
        <v>138</v>
      </c>
      <c r="O96" s="139">
        <f ca="1">IF(_xlfn.BITXOR(O94,O95)=0,O94,_xlfn.BITXOR(O94,O95))</f>
        <v>99</v>
      </c>
      <c r="P96" s="139">
        <f ca="1">IF(_xlfn.BITXOR(P94,P95)=0,P94,_xlfn.BITXOR(P94,P95))</f>
        <v>21</v>
      </c>
      <c r="Q96" s="139">
        <f ca="1">IF(_xlfn.BITXOR(Q94,Q95)=0,Q94,_xlfn.BITXOR(Q94,Q95))</f>
        <v>168</v>
      </c>
      <c r="R96" s="139" t="str">
        <f ca="1">LEN(_xlfn.BASE(N96,2,8))&amp;","&amp;LEN(_xlfn.BASE(O96,2,8))&amp;","&amp;LEN(_xlfn.BASE(P96,2,8))&amp;","&amp;LEN(_xlfn.BASE(Q96,2,8))</f>
        <v>8,8,8,8</v>
      </c>
      <c r="S96" s="339" t="str">
        <f t="shared" ca="1" si="25"/>
        <v>10001010,01100011,00010101,10101000</v>
      </c>
      <c r="T96" s="339"/>
      <c r="U96" s="339"/>
      <c r="V96" s="139"/>
      <c r="W96" s="3"/>
      <c r="X96" s="139">
        <f ca="1">IF(_xlfn.BITXOR(X94,X95)=0,X94,_xlfn.BITXOR(X94,X95))</f>
        <v>17</v>
      </c>
      <c r="Y96" s="139">
        <f ca="1">IF(_xlfn.BITXOR(Y94,Y95)=0,Y94,_xlfn.BITXOR(Y94,Y95))</f>
        <v>147</v>
      </c>
      <c r="Z96" s="139">
        <f ca="1">IF(_xlfn.BITXOR(Z94,Z95)=0,Z94,_xlfn.BITXOR(Z94,Z95))</f>
        <v>133</v>
      </c>
      <c r="AA96" s="139">
        <f ca="1">IF(_xlfn.BITXOR(AA94,AA95)=0,AA94,_xlfn.BITXOR(AA94,AA95))</f>
        <v>83</v>
      </c>
      <c r="AB96" s="139" t="str">
        <f ca="1">LEN(_xlfn.BASE(X96,2,8))&amp;","&amp;LEN(_xlfn.BASE(Y96,2,8))&amp;","&amp;LEN(_xlfn.BASE(Z96,2,8))&amp;","&amp;LEN(_xlfn.BASE(AA96,2,8))</f>
        <v>8,8,8,8</v>
      </c>
      <c r="AC96" s="339" t="str">
        <f t="shared" ca="1" si="30"/>
        <v>00010001,10010011,10000101,01010011</v>
      </c>
      <c r="AD96" s="339"/>
      <c r="AE96" s="339"/>
      <c r="AF96" s="28"/>
      <c r="AG96" s="3"/>
      <c r="AH96" s="139">
        <f ca="1">IF(_xlfn.BITXOR(AH94,AH95)=0,AH94,_xlfn.BITXOR(AH94,AH95))</f>
        <v>171</v>
      </c>
      <c r="AI96" s="139">
        <f ca="1">IF(_xlfn.BITXOR(AI94,AI95)=0,AI94,_xlfn.BITXOR(AI94,AI95))</f>
        <v>77</v>
      </c>
      <c r="AJ96" s="139">
        <f ca="1">IF(_xlfn.BITXOR(AJ94,AJ95)=0,AJ94,_xlfn.BITXOR(AJ94,AJ95))</f>
        <v>247</v>
      </c>
      <c r="AK96" s="139">
        <f ca="1">IF(_xlfn.BITXOR(AK94,AK95)=0,AK94,_xlfn.BITXOR(AK94,AK95))</f>
        <v>168</v>
      </c>
      <c r="AL96" s="139" t="str">
        <f ca="1">LEN(_xlfn.BASE(AH96,2,8))&amp;","&amp;LEN(_xlfn.BASE(AI96,2,8))&amp;","&amp;LEN(_xlfn.BASE(AJ96,2,8))&amp;","&amp;LEN(_xlfn.BASE(AK96,2,8))</f>
        <v>8,8,8,8</v>
      </c>
      <c r="AM96" s="339" t="str">
        <f t="shared" ca="1" si="35"/>
        <v>10101011,01001101,11110111,10101000</v>
      </c>
      <c r="AN96" s="339"/>
      <c r="AO96" s="339"/>
      <c r="AP96" s="179"/>
      <c r="AQ96" s="109"/>
      <c r="AR96" s="109"/>
      <c r="AS96" s="109"/>
      <c r="AT96" s="109"/>
      <c r="AU96" s="109"/>
      <c r="AV96" s="109"/>
      <c r="AW96" s="109"/>
      <c r="AX96" s="109"/>
      <c r="AY96" s="109"/>
      <c r="AZ96" s="109"/>
      <c r="BA96" s="109"/>
      <c r="BB96" s="109"/>
      <c r="BC96" s="109"/>
      <c r="BD96" s="109"/>
      <c r="BE96" s="109"/>
      <c r="BF96" s="109"/>
      <c r="BG96" s="109"/>
      <c r="BH96" s="109"/>
      <c r="BI96" s="109"/>
      <c r="BJ96" s="109"/>
      <c r="BK96" s="109"/>
    </row>
    <row r="97" spans="2:65" x14ac:dyDescent="0.25">
      <c r="B97" s="371"/>
      <c r="C97" s="145" t="s">
        <v>72</v>
      </c>
      <c r="D97" s="145">
        <f ca="1">IF(LEN(_xlfn.BASE(D96,2,8))-9&lt;0,D96,IF(LEN(_xlfn.BASE(D96,2,8))-9=0,283,IF(LEN(_xlfn.BASE(D96,2,8))-9=1,566,IF(LEN(_xlfn.BASE(D96,2,8))-9=2,1132,IF(LEN(_xlfn.BASE(D96,2,8))-9=3,2264)))))</f>
        <v>61</v>
      </c>
      <c r="E97" s="145">
        <f t="shared" ref="E97:G97" ca="1" si="36">IF(LEN(_xlfn.BASE(E96,2,8))-9&lt;0,E96,IF(LEN(_xlfn.BASE(E96,2,8))-9=0,283,IF(LEN(_xlfn.BASE(E96,2,8))-9=1,566,IF(LEN(_xlfn.BASE(E96,2,8))-9=2,1132,IF(LEN(_xlfn.BASE(E96,2,8))-9=3,2264)))))</f>
        <v>6</v>
      </c>
      <c r="F97" s="145">
        <f t="shared" ca="1" si="36"/>
        <v>51</v>
      </c>
      <c r="G97" s="145">
        <f t="shared" ca="1" si="36"/>
        <v>216</v>
      </c>
      <c r="H97" s="145" t="str">
        <f t="shared" ca="1" si="19"/>
        <v>8,8,8,8</v>
      </c>
      <c r="I97" s="366" t="str">
        <f t="shared" ca="1" si="20"/>
        <v>00111101,00000110,00110011,11011000</v>
      </c>
      <c r="J97" s="366"/>
      <c r="K97" s="366"/>
      <c r="L97" s="139"/>
      <c r="M97" s="139" t="s">
        <v>72</v>
      </c>
      <c r="N97" s="145">
        <f ca="1">IF(LEN(_xlfn.BASE(N96,2,8))-9&lt;0,N96,IF(LEN(_xlfn.BASE(N96,2,8))-9=0,283,IF(LEN(_xlfn.BASE(N96,2,8))-9=1,566,IF(LEN(_xlfn.BASE(N96,2,8))-9=2,1132,IF(LEN(_xlfn.BASE(N96,2,8))-9=3,2264)))))</f>
        <v>138</v>
      </c>
      <c r="O97" s="145">
        <f t="shared" ref="O97" ca="1" si="37">IF(LEN(_xlfn.BASE(O96,2,8))-9&lt;0,O96,IF(LEN(_xlfn.BASE(O96,2,8))-9=0,283,IF(LEN(_xlfn.BASE(O96,2,8))-9=1,566,IF(LEN(_xlfn.BASE(O96,2,8))-9=2,1132,IF(LEN(_xlfn.BASE(O96,2,8))-9=3,2264)))))</f>
        <v>99</v>
      </c>
      <c r="P97" s="145">
        <f t="shared" ref="P97" ca="1" si="38">IF(LEN(_xlfn.BASE(P96,2,8))-9&lt;0,P96,IF(LEN(_xlfn.BASE(P96,2,8))-9=0,283,IF(LEN(_xlfn.BASE(P96,2,8))-9=1,566,IF(LEN(_xlfn.BASE(P96,2,8))-9=2,1132,IF(LEN(_xlfn.BASE(P96,2,8))-9=3,2264)))))</f>
        <v>21</v>
      </c>
      <c r="Q97" s="145">
        <f t="shared" ref="Q97" ca="1" si="39">IF(LEN(_xlfn.BASE(Q96,2,8))-9&lt;0,Q96,IF(LEN(_xlfn.BASE(Q96,2,8))-9=0,283,IF(LEN(_xlfn.BASE(Q96,2,8))-9=1,566,IF(LEN(_xlfn.BASE(Q96,2,8))-9=2,1132,IF(LEN(_xlfn.BASE(Q96,2,8))-9=3,2264)))))</f>
        <v>168</v>
      </c>
      <c r="R97" s="145" t="str">
        <f t="shared" ca="1" si="24"/>
        <v>8,8,8,8</v>
      </c>
      <c r="S97" s="366" t="str">
        <f t="shared" ca="1" si="25"/>
        <v>10001010,01100011,00010101,10101000</v>
      </c>
      <c r="T97" s="366"/>
      <c r="U97" s="366"/>
      <c r="V97" s="139"/>
      <c r="W97" s="139" t="s">
        <v>72</v>
      </c>
      <c r="X97" s="145">
        <f ca="1">IF(LEN(_xlfn.BASE(X96,2,8))-9&lt;0,X96,IF(LEN(_xlfn.BASE(X96,2,8))-9=0,283,IF(LEN(_xlfn.BASE(X96,2,8))-9=1,566,IF(LEN(_xlfn.BASE(X96,2,8))-9=2,1132,IF(LEN(_xlfn.BASE(X96,2,8))-9=3,2264)))))</f>
        <v>17</v>
      </c>
      <c r="Y97" s="145">
        <f t="shared" ref="Y97" ca="1" si="40">IF(LEN(_xlfn.BASE(Y96,2,8))-9&lt;0,Y96,IF(LEN(_xlfn.BASE(Y96,2,8))-9=0,283,IF(LEN(_xlfn.BASE(Y96,2,8))-9=1,566,IF(LEN(_xlfn.BASE(Y96,2,8))-9=2,1132,IF(LEN(_xlfn.BASE(Y96,2,8))-9=3,2264)))))</f>
        <v>147</v>
      </c>
      <c r="Z97" s="145">
        <f t="shared" ref="Z97" ca="1" si="41">IF(LEN(_xlfn.BASE(Z96,2,8))-9&lt;0,Z96,IF(LEN(_xlfn.BASE(Z96,2,8))-9=0,283,IF(LEN(_xlfn.BASE(Z96,2,8))-9=1,566,IF(LEN(_xlfn.BASE(Z96,2,8))-9=2,1132,IF(LEN(_xlfn.BASE(Z96,2,8))-9=3,2264)))))</f>
        <v>133</v>
      </c>
      <c r="AA97" s="145">
        <f t="shared" ref="AA97" ca="1" si="42">IF(LEN(_xlfn.BASE(AA96,2,8))-9&lt;0,AA96,IF(LEN(_xlfn.BASE(AA96,2,8))-9=0,283,IF(LEN(_xlfn.BASE(AA96,2,8))-9=1,566,IF(LEN(_xlfn.BASE(AA96,2,8))-9=2,1132,IF(LEN(_xlfn.BASE(AA96,2,8))-9=3,2264)))))</f>
        <v>83</v>
      </c>
      <c r="AB97" s="145" t="str">
        <f t="shared" ref="AB97:AB100" ca="1" si="43">LEN(_xlfn.BASE(X97,2,8))&amp;","&amp;LEN(_xlfn.BASE(Y97,2,8))&amp;","&amp;LEN(_xlfn.BASE(Z97,2,8))&amp;","&amp;LEN(_xlfn.BASE(AA97,2,8))</f>
        <v>8,8,8,8</v>
      </c>
      <c r="AC97" s="366" t="str">
        <f t="shared" ca="1" si="30"/>
        <v>00010001,10010011,10000101,01010011</v>
      </c>
      <c r="AD97" s="366"/>
      <c r="AE97" s="366"/>
      <c r="AF97" s="28"/>
      <c r="AG97" s="139" t="s">
        <v>72</v>
      </c>
      <c r="AH97" s="145">
        <f ca="1">IF(LEN(_xlfn.BASE(AH96,2,8))-9&lt;0,AH96,IF(LEN(_xlfn.BASE(AH96,2,8))-9=0,283,IF(LEN(_xlfn.BASE(AH96,2,8))-9=1,566,IF(LEN(_xlfn.BASE(AH96,2,8))-9=2,1132,IF(LEN(_xlfn.BASE(AH96,2,8))-9=3,2264)))))</f>
        <v>171</v>
      </c>
      <c r="AI97" s="145">
        <f t="shared" ref="AI97" ca="1" si="44">IF(LEN(_xlfn.BASE(AI96,2,8))-9&lt;0,AI96,IF(LEN(_xlfn.BASE(AI96,2,8))-9=0,283,IF(LEN(_xlfn.BASE(AI96,2,8))-9=1,566,IF(LEN(_xlfn.BASE(AI96,2,8))-9=2,1132,IF(LEN(_xlfn.BASE(AI96,2,8))-9=3,2264)))))</f>
        <v>77</v>
      </c>
      <c r="AJ97" s="145">
        <f t="shared" ref="AJ97" ca="1" si="45">IF(LEN(_xlfn.BASE(AJ96,2,8))-9&lt;0,AJ96,IF(LEN(_xlfn.BASE(AJ96,2,8))-9=0,283,IF(LEN(_xlfn.BASE(AJ96,2,8))-9=1,566,IF(LEN(_xlfn.BASE(AJ96,2,8))-9=2,1132,IF(LEN(_xlfn.BASE(AJ96,2,8))-9=3,2264)))))</f>
        <v>247</v>
      </c>
      <c r="AK97" s="145">
        <f t="shared" ref="AK97" ca="1" si="46">IF(LEN(_xlfn.BASE(AK96,2,8))-9&lt;0,AK96,IF(LEN(_xlfn.BASE(AK96,2,8))-9=0,283,IF(LEN(_xlfn.BASE(AK96,2,8))-9=1,566,IF(LEN(_xlfn.BASE(AK96,2,8))-9=2,1132,IF(LEN(_xlfn.BASE(AK96,2,8))-9=3,2264)))))</f>
        <v>168</v>
      </c>
      <c r="AL97" s="145" t="str">
        <f t="shared" ref="AL97:AL100" ca="1" si="47">LEN(_xlfn.BASE(AH97,2,8))&amp;","&amp;LEN(_xlfn.BASE(AI97,2,8))&amp;","&amp;LEN(_xlfn.BASE(AJ97,2,8))&amp;","&amp;LEN(_xlfn.BASE(AK97,2,8))</f>
        <v>8,8,8,8</v>
      </c>
      <c r="AM97" s="366" t="str">
        <f t="shared" ca="1" si="35"/>
        <v>10101011,01001101,11110111,10101000</v>
      </c>
      <c r="AN97" s="366"/>
      <c r="AO97" s="366"/>
      <c r="AP97" s="178"/>
      <c r="AQ97" s="109"/>
      <c r="AR97" s="361"/>
      <c r="AS97" s="361"/>
      <c r="AT97" s="361"/>
      <c r="AU97" s="361"/>
      <c r="AV97" s="109"/>
      <c r="AW97" s="361"/>
      <c r="AX97" s="361"/>
      <c r="AY97" s="361"/>
      <c r="AZ97" s="361"/>
      <c r="BA97" s="109"/>
      <c r="BB97" s="361"/>
      <c r="BC97" s="361"/>
      <c r="BD97" s="361"/>
      <c r="BE97" s="361"/>
      <c r="BF97" s="109"/>
      <c r="BG97" s="361"/>
      <c r="BH97" s="361"/>
      <c r="BI97" s="361"/>
      <c r="BJ97" s="361"/>
      <c r="BK97" s="109"/>
    </row>
    <row r="98" spans="2:65" x14ac:dyDescent="0.25">
      <c r="B98" s="371"/>
      <c r="C98" s="139"/>
      <c r="D98" s="139">
        <f ca="1">IF(_xlfn.BITXOR(D96,D97)=0,D97,_xlfn.BITXOR(D96,D97))</f>
        <v>61</v>
      </c>
      <c r="E98" s="139">
        <f t="shared" ref="E98:G98" ca="1" si="48">IF(_xlfn.BITXOR(E96,E97)=0,E97,_xlfn.BITXOR(E96,E97))</f>
        <v>6</v>
      </c>
      <c r="F98" s="139">
        <f t="shared" ca="1" si="48"/>
        <v>51</v>
      </c>
      <c r="G98" s="139">
        <f t="shared" ca="1" si="48"/>
        <v>216</v>
      </c>
      <c r="H98" s="139" t="str">
        <f t="shared" ca="1" si="19"/>
        <v>8,8,8,8</v>
      </c>
      <c r="I98" s="339" t="str">
        <f t="shared" ca="1" si="20"/>
        <v>00111101,00000110,00110011,11011000</v>
      </c>
      <c r="J98" s="339"/>
      <c r="K98" s="339"/>
      <c r="L98" s="139"/>
      <c r="M98" s="3"/>
      <c r="N98" s="139">
        <f ca="1">IF(_xlfn.BITXOR(N96,N97)=0,N97,_xlfn.BITXOR(N96,N97))</f>
        <v>138</v>
      </c>
      <c r="O98" s="139">
        <f t="shared" ref="O98" ca="1" si="49">IF(_xlfn.BITXOR(O96,O97)=0,O97,_xlfn.BITXOR(O96,O97))</f>
        <v>99</v>
      </c>
      <c r="P98" s="139">
        <f t="shared" ref="P98" ca="1" si="50">IF(_xlfn.BITXOR(P96,P97)=0,P97,_xlfn.BITXOR(P96,P97))</f>
        <v>21</v>
      </c>
      <c r="Q98" s="139">
        <f t="shared" ref="Q98" ca="1" si="51">IF(_xlfn.BITXOR(Q96,Q97)=0,Q97,_xlfn.BITXOR(Q96,Q97))</f>
        <v>168</v>
      </c>
      <c r="R98" s="139" t="str">
        <f t="shared" ca="1" si="24"/>
        <v>8,8,8,8</v>
      </c>
      <c r="S98" s="339" t="str">
        <f t="shared" ca="1" si="25"/>
        <v>10001010,01100011,00010101,10101000</v>
      </c>
      <c r="T98" s="339"/>
      <c r="U98" s="339"/>
      <c r="V98" s="139"/>
      <c r="W98" s="3"/>
      <c r="X98" s="139">
        <f ca="1">IF(_xlfn.BITXOR(X96,X97)=0,X97,_xlfn.BITXOR(X96,X97))</f>
        <v>17</v>
      </c>
      <c r="Y98" s="139">
        <f t="shared" ref="Y98" ca="1" si="52">IF(_xlfn.BITXOR(Y96,Y97)=0,Y97,_xlfn.BITXOR(Y96,Y97))</f>
        <v>147</v>
      </c>
      <c r="Z98" s="139">
        <f t="shared" ref="Z98" ca="1" si="53">IF(_xlfn.BITXOR(Z96,Z97)=0,Z97,_xlfn.BITXOR(Z96,Z97))</f>
        <v>133</v>
      </c>
      <c r="AA98" s="139">
        <f t="shared" ref="AA98" ca="1" si="54">IF(_xlfn.BITXOR(AA96,AA97)=0,AA97,_xlfn.BITXOR(AA96,AA97))</f>
        <v>83</v>
      </c>
      <c r="AB98" s="139" t="str">
        <f t="shared" ca="1" si="43"/>
        <v>8,8,8,8</v>
      </c>
      <c r="AC98" s="339" t="str">
        <f t="shared" ca="1" si="30"/>
        <v>00010001,10010011,10000101,01010011</v>
      </c>
      <c r="AD98" s="339"/>
      <c r="AE98" s="339"/>
      <c r="AF98" s="28"/>
      <c r="AG98" s="3"/>
      <c r="AH98" s="139">
        <f ca="1">IF(_xlfn.BITXOR(AH96,AH97)=0,AH97,_xlfn.BITXOR(AH96,AH97))</f>
        <v>171</v>
      </c>
      <c r="AI98" s="139">
        <f t="shared" ref="AI98" ca="1" si="55">IF(_xlfn.BITXOR(AI96,AI97)=0,AI97,_xlfn.BITXOR(AI96,AI97))</f>
        <v>77</v>
      </c>
      <c r="AJ98" s="139">
        <f t="shared" ref="AJ98" ca="1" si="56">IF(_xlfn.BITXOR(AJ96,AJ97)=0,AJ97,_xlfn.BITXOR(AJ96,AJ97))</f>
        <v>247</v>
      </c>
      <c r="AK98" s="139">
        <f t="shared" ref="AK98" ca="1" si="57">IF(_xlfn.BITXOR(AK96,AK97)=0,AK97,_xlfn.BITXOR(AK96,AK97))</f>
        <v>168</v>
      </c>
      <c r="AL98" s="139" t="str">
        <f t="shared" ca="1" si="47"/>
        <v>8,8,8,8</v>
      </c>
      <c r="AM98" s="339" t="str">
        <f t="shared" ca="1" si="35"/>
        <v>10101011,01001101,11110111,10101000</v>
      </c>
      <c r="AN98" s="339"/>
      <c r="AO98" s="339"/>
      <c r="AP98" s="178"/>
      <c r="AQ98" s="109"/>
      <c r="AR98" s="109"/>
      <c r="AS98" s="109"/>
      <c r="AT98" s="109"/>
      <c r="AU98" s="109"/>
      <c r="AV98" s="109"/>
      <c r="AW98" s="109"/>
      <c r="AX98" s="109"/>
      <c r="AY98" s="109"/>
      <c r="AZ98" s="109"/>
      <c r="BA98" s="109"/>
      <c r="BB98" s="109"/>
      <c r="BC98" s="109"/>
      <c r="BD98" s="109"/>
      <c r="BE98" s="109"/>
      <c r="BF98" s="109"/>
      <c r="BG98" s="109"/>
      <c r="BH98" s="109"/>
      <c r="BI98" s="109"/>
      <c r="BJ98" s="109"/>
      <c r="BK98" s="109"/>
    </row>
    <row r="99" spans="2:65" x14ac:dyDescent="0.25">
      <c r="B99" s="371"/>
      <c r="C99" s="93" t="s">
        <v>72</v>
      </c>
      <c r="D99" s="145">
        <f ca="1">IF(LEN(_xlfn.BASE(D98,2,8))-9&lt;0,D98,IF(LEN(_xlfn.BASE(D98,2,8))-9=0,283,IF(LEN(_xlfn.BASE(D98,2,8))-9=1,566,IF(LEN(_xlfn.BASE(D98,2,8))-9=2,1132,IF(LEN(_xlfn.BASE(D98,2,8))-9=3,2264)))))</f>
        <v>61</v>
      </c>
      <c r="E99" s="145">
        <f t="shared" ref="E99:G99" ca="1" si="58">IF(LEN(_xlfn.BASE(E98,2,8))-9&lt;0,E98,IF(LEN(_xlfn.BASE(E98,2,8))-9=0,283,IF(LEN(_xlfn.BASE(E98,2,8))-9=1,566,IF(LEN(_xlfn.BASE(E98,2,8))-9=2,1132,IF(LEN(_xlfn.BASE(E98,2,8))-9=3,2264)))))</f>
        <v>6</v>
      </c>
      <c r="F99" s="145">
        <f t="shared" ca="1" si="58"/>
        <v>51</v>
      </c>
      <c r="G99" s="145">
        <f t="shared" ca="1" si="58"/>
        <v>216</v>
      </c>
      <c r="H99" s="93" t="str">
        <f t="shared" ca="1" si="19"/>
        <v>8,8,8,8</v>
      </c>
      <c r="I99" s="366" t="str">
        <f t="shared" ca="1" si="20"/>
        <v>00111101,00000110,00110011,11011000</v>
      </c>
      <c r="J99" s="366"/>
      <c r="K99" s="366"/>
      <c r="L99" s="139"/>
      <c r="M99" s="139" t="s">
        <v>72</v>
      </c>
      <c r="N99" s="145">
        <f ca="1">IF(LEN(_xlfn.BASE(N98,2,8))-9&lt;0,N98,IF(LEN(_xlfn.BASE(N98,2,8))-9=0,283,IF(LEN(_xlfn.BASE(N98,2,8))-9=1,566,IF(LEN(_xlfn.BASE(N98,2,8))-9=2,1132,IF(LEN(_xlfn.BASE(N98,2,8))-9=3,2264)))))</f>
        <v>138</v>
      </c>
      <c r="O99" s="145">
        <f t="shared" ref="O99" ca="1" si="59">IF(LEN(_xlfn.BASE(O98,2,8))-9&lt;0,O98,IF(LEN(_xlfn.BASE(O98,2,8))-9=0,283,IF(LEN(_xlfn.BASE(O98,2,8))-9=1,566,IF(LEN(_xlfn.BASE(O98,2,8))-9=2,1132,IF(LEN(_xlfn.BASE(O98,2,8))-9=3,2264)))))</f>
        <v>99</v>
      </c>
      <c r="P99" s="145">
        <f t="shared" ref="P99" ca="1" si="60">IF(LEN(_xlfn.BASE(P98,2,8))-9&lt;0,P98,IF(LEN(_xlfn.BASE(P98,2,8))-9=0,283,IF(LEN(_xlfn.BASE(P98,2,8))-9=1,566,IF(LEN(_xlfn.BASE(P98,2,8))-9=2,1132,IF(LEN(_xlfn.BASE(P98,2,8))-9=3,2264)))))</f>
        <v>21</v>
      </c>
      <c r="Q99" s="145">
        <f t="shared" ref="Q99" ca="1" si="61">IF(LEN(_xlfn.BASE(Q98,2,8))-9&lt;0,Q98,IF(LEN(_xlfn.BASE(Q98,2,8))-9=0,283,IF(LEN(_xlfn.BASE(Q98,2,8))-9=1,566,IF(LEN(_xlfn.BASE(Q98,2,8))-9=2,1132,IF(LEN(_xlfn.BASE(Q98,2,8))-9=3,2264)))))</f>
        <v>168</v>
      </c>
      <c r="R99" s="145" t="str">
        <f t="shared" ca="1" si="24"/>
        <v>8,8,8,8</v>
      </c>
      <c r="S99" s="366" t="str">
        <f t="shared" ca="1" si="25"/>
        <v>10001010,01100011,00010101,10101000</v>
      </c>
      <c r="T99" s="366"/>
      <c r="U99" s="366"/>
      <c r="V99" s="139"/>
      <c r="W99" s="139" t="s">
        <v>72</v>
      </c>
      <c r="X99" s="145">
        <f ca="1">IF(LEN(_xlfn.BASE(X98,2,8))-9&lt;0,X98,IF(LEN(_xlfn.BASE(X98,2,8))-9=0,283,IF(LEN(_xlfn.BASE(X98,2,8))-9=1,566,IF(LEN(_xlfn.BASE(X98,2,8))-9=2,1132,IF(LEN(_xlfn.BASE(X98,2,8))-9=3,2264)))))</f>
        <v>17</v>
      </c>
      <c r="Y99" s="145">
        <f t="shared" ref="Y99" ca="1" si="62">IF(LEN(_xlfn.BASE(Y98,2,8))-9&lt;0,Y98,IF(LEN(_xlfn.BASE(Y98,2,8))-9=0,283,IF(LEN(_xlfn.BASE(Y98,2,8))-9=1,566,IF(LEN(_xlfn.BASE(Y98,2,8))-9=2,1132,IF(LEN(_xlfn.BASE(Y98,2,8))-9=3,2264)))))</f>
        <v>147</v>
      </c>
      <c r="Z99" s="145">
        <f t="shared" ref="Z99" ca="1" si="63">IF(LEN(_xlfn.BASE(Z98,2,8))-9&lt;0,Z98,IF(LEN(_xlfn.BASE(Z98,2,8))-9=0,283,IF(LEN(_xlfn.BASE(Z98,2,8))-9=1,566,IF(LEN(_xlfn.BASE(Z98,2,8))-9=2,1132,IF(LEN(_xlfn.BASE(Z98,2,8))-9=3,2264)))))</f>
        <v>133</v>
      </c>
      <c r="AA99" s="145">
        <f t="shared" ref="AA99" ca="1" si="64">IF(LEN(_xlfn.BASE(AA98,2,8))-9&lt;0,AA98,IF(LEN(_xlfn.BASE(AA98,2,8))-9=0,283,IF(LEN(_xlfn.BASE(AA98,2,8))-9=1,566,IF(LEN(_xlfn.BASE(AA98,2,8))-9=2,1132,IF(LEN(_xlfn.BASE(AA98,2,8))-9=3,2264)))))</f>
        <v>83</v>
      </c>
      <c r="AB99" s="145" t="str">
        <f t="shared" ca="1" si="43"/>
        <v>8,8,8,8</v>
      </c>
      <c r="AC99" s="366" t="str">
        <f t="shared" ca="1" si="30"/>
        <v>00010001,10010011,10000101,01010011</v>
      </c>
      <c r="AD99" s="366"/>
      <c r="AE99" s="366"/>
      <c r="AF99" s="28"/>
      <c r="AG99" s="139" t="s">
        <v>72</v>
      </c>
      <c r="AH99" s="145">
        <f ca="1">IF(LEN(_xlfn.BASE(AH98,2,8))-9&lt;0,AH98,IF(LEN(_xlfn.BASE(AH98,2,8))-9=0,283,IF(LEN(_xlfn.BASE(AH98,2,8))-9=1,566,IF(LEN(_xlfn.BASE(AH98,2,8))-9=2,1132,IF(LEN(_xlfn.BASE(AH98,2,8))-9=3,2264)))))</f>
        <v>171</v>
      </c>
      <c r="AI99" s="145">
        <f t="shared" ref="AI99" ca="1" si="65">IF(LEN(_xlfn.BASE(AI98,2,8))-9&lt;0,AI98,IF(LEN(_xlfn.BASE(AI98,2,8))-9=0,283,IF(LEN(_xlfn.BASE(AI98,2,8))-9=1,566,IF(LEN(_xlfn.BASE(AI98,2,8))-9=2,1132,IF(LEN(_xlfn.BASE(AI98,2,8))-9=3,2264)))))</f>
        <v>77</v>
      </c>
      <c r="AJ99" s="145">
        <f t="shared" ref="AJ99" ca="1" si="66">IF(LEN(_xlfn.BASE(AJ98,2,8))-9&lt;0,AJ98,IF(LEN(_xlfn.BASE(AJ98,2,8))-9=0,283,IF(LEN(_xlfn.BASE(AJ98,2,8))-9=1,566,IF(LEN(_xlfn.BASE(AJ98,2,8))-9=2,1132,IF(LEN(_xlfn.BASE(AJ98,2,8))-9=3,2264)))))</f>
        <v>247</v>
      </c>
      <c r="AK99" s="145">
        <f t="shared" ref="AK99" ca="1" si="67">IF(LEN(_xlfn.BASE(AK98,2,8))-9&lt;0,AK98,IF(LEN(_xlfn.BASE(AK98,2,8))-9=0,283,IF(LEN(_xlfn.BASE(AK98,2,8))-9=1,566,IF(LEN(_xlfn.BASE(AK98,2,8))-9=2,1132,IF(LEN(_xlfn.BASE(AK98,2,8))-9=3,2264)))))</f>
        <v>168</v>
      </c>
      <c r="AL99" s="145" t="str">
        <f t="shared" ca="1" si="47"/>
        <v>8,8,8,8</v>
      </c>
      <c r="AM99" s="366" t="str">
        <f t="shared" ca="1" si="35"/>
        <v>10101011,01001101,11110111,10101000</v>
      </c>
      <c r="AN99" s="366"/>
      <c r="AO99" s="366"/>
      <c r="AP99" s="178"/>
      <c r="AQ99" s="109"/>
      <c r="AR99" s="109"/>
      <c r="AS99" s="109"/>
      <c r="AT99" s="109"/>
      <c r="AU99" s="109"/>
      <c r="AV99" s="109"/>
      <c r="AW99" s="109"/>
      <c r="AX99" s="109"/>
      <c r="AY99" s="109"/>
      <c r="AZ99" s="109"/>
      <c r="BA99" s="109"/>
      <c r="BB99" s="109"/>
      <c r="BC99" s="109"/>
      <c r="BD99" s="109"/>
      <c r="BE99" s="109"/>
      <c r="BF99" s="109"/>
      <c r="BG99" s="109"/>
      <c r="BH99" s="109"/>
      <c r="BI99" s="109"/>
      <c r="BJ99" s="109"/>
      <c r="BK99" s="109"/>
    </row>
    <row r="100" spans="2:65" x14ac:dyDescent="0.25">
      <c r="B100" s="371"/>
      <c r="C100" s="3"/>
      <c r="D100" s="139">
        <f ca="1">IF(_xlfn.BITXOR(D98,D99)=0,D99,_xlfn.BITXOR(D98,D99))</f>
        <v>61</v>
      </c>
      <c r="E100" s="139">
        <f t="shared" ref="E100:G100" ca="1" si="68">IF(_xlfn.BITXOR(E98,E99)=0,E99,_xlfn.BITXOR(E98,E99))</f>
        <v>6</v>
      </c>
      <c r="F100" s="139">
        <f t="shared" ca="1" si="68"/>
        <v>51</v>
      </c>
      <c r="G100" s="139">
        <f t="shared" ca="1" si="68"/>
        <v>216</v>
      </c>
      <c r="H100" s="321" t="str">
        <f t="shared" ca="1" si="19"/>
        <v>8,8,8,8</v>
      </c>
      <c r="I100" s="370" t="str">
        <f t="shared" ca="1" si="20"/>
        <v>00111101,00000110,00110011,11011000</v>
      </c>
      <c r="J100" s="370"/>
      <c r="K100" s="370"/>
      <c r="L100" s="139"/>
      <c r="M100" s="3"/>
      <c r="N100" s="139">
        <f ca="1">IF(_xlfn.BITXOR(N98,N99)=0,N99,_xlfn.BITXOR(N98,N99))</f>
        <v>138</v>
      </c>
      <c r="O100" s="139">
        <f t="shared" ref="O100" ca="1" si="69">IF(_xlfn.BITXOR(O98,O99)=0,O99,_xlfn.BITXOR(O98,O99))</f>
        <v>99</v>
      </c>
      <c r="P100" s="139">
        <f t="shared" ref="P100" ca="1" si="70">IF(_xlfn.BITXOR(P98,P99)=0,P99,_xlfn.BITXOR(P98,P99))</f>
        <v>21</v>
      </c>
      <c r="Q100" s="139">
        <f t="shared" ref="Q100" ca="1" si="71">IF(_xlfn.BITXOR(Q98,Q99)=0,Q99,_xlfn.BITXOR(Q98,Q99))</f>
        <v>168</v>
      </c>
      <c r="R100" s="321" t="str">
        <f t="shared" ca="1" si="24"/>
        <v>8,8,8,8</v>
      </c>
      <c r="S100" s="370" t="str">
        <f t="shared" ca="1" si="25"/>
        <v>10001010,01100011,00010101,10101000</v>
      </c>
      <c r="T100" s="370"/>
      <c r="U100" s="370"/>
      <c r="V100" s="139"/>
      <c r="W100" s="3"/>
      <c r="X100" s="139">
        <f ca="1">IF(_xlfn.BITXOR(X98,X99)=0,X99,_xlfn.BITXOR(X98,X99))</f>
        <v>17</v>
      </c>
      <c r="Y100" s="139">
        <f t="shared" ref="Y100" ca="1" si="72">IF(_xlfn.BITXOR(Y98,Y99)=0,Y99,_xlfn.BITXOR(Y98,Y99))</f>
        <v>147</v>
      </c>
      <c r="Z100" s="139">
        <f t="shared" ref="Z100" ca="1" si="73">IF(_xlfn.BITXOR(Z98,Z99)=0,Z99,_xlfn.BITXOR(Z98,Z99))</f>
        <v>133</v>
      </c>
      <c r="AA100" s="139">
        <f t="shared" ref="AA100" ca="1" si="74">IF(_xlfn.BITXOR(AA98,AA99)=0,AA99,_xlfn.BITXOR(AA98,AA99))</f>
        <v>83</v>
      </c>
      <c r="AB100" s="321" t="str">
        <f t="shared" ca="1" si="43"/>
        <v>8,8,8,8</v>
      </c>
      <c r="AC100" s="370" t="str">
        <f t="shared" ca="1" si="30"/>
        <v>00010001,10010011,10000101,01010011</v>
      </c>
      <c r="AD100" s="370"/>
      <c r="AE100" s="370"/>
      <c r="AF100" s="28"/>
      <c r="AG100" s="3"/>
      <c r="AH100" s="139">
        <f ca="1">IF(_xlfn.BITXOR(AH98,AH99)=0,AH99,_xlfn.BITXOR(AH98,AH99))</f>
        <v>171</v>
      </c>
      <c r="AI100" s="139">
        <f t="shared" ref="AI100" ca="1" si="75">IF(_xlfn.BITXOR(AI98,AI99)=0,AI99,_xlfn.BITXOR(AI98,AI99))</f>
        <v>77</v>
      </c>
      <c r="AJ100" s="139">
        <f t="shared" ref="AJ100" ca="1" si="76">IF(_xlfn.BITXOR(AJ98,AJ99)=0,AJ99,_xlfn.BITXOR(AJ98,AJ99))</f>
        <v>247</v>
      </c>
      <c r="AK100" s="139">
        <f t="shared" ref="AK100" ca="1" si="77">IF(_xlfn.BITXOR(AK98,AK99)=0,AK99,_xlfn.BITXOR(AK98,AK99))</f>
        <v>168</v>
      </c>
      <c r="AL100" s="321" t="str">
        <f t="shared" ca="1" si="47"/>
        <v>8,8,8,8</v>
      </c>
      <c r="AM100" s="370" t="str">
        <f t="shared" ca="1" si="35"/>
        <v>10101011,01001101,11110111,10101000</v>
      </c>
      <c r="AN100" s="370"/>
      <c r="AO100" s="370"/>
      <c r="AP100" s="179"/>
      <c r="AQ100" s="109"/>
      <c r="AR100" s="109"/>
      <c r="AS100" s="109"/>
      <c r="AT100" s="109"/>
      <c r="AU100" s="109"/>
      <c r="AV100" s="109"/>
      <c r="AW100" s="109"/>
      <c r="AX100" s="109"/>
      <c r="AY100" s="109"/>
      <c r="AZ100" s="109"/>
      <c r="BA100" s="109"/>
      <c r="BB100" s="109"/>
      <c r="BC100" s="109"/>
      <c r="BD100" s="109"/>
      <c r="BE100" s="109"/>
      <c r="BF100" s="109"/>
      <c r="BG100" s="109"/>
      <c r="BH100" s="109"/>
      <c r="BI100" s="109"/>
      <c r="BJ100" s="109"/>
      <c r="BK100" s="109"/>
    </row>
    <row r="101" spans="2:65" x14ac:dyDescent="0.25">
      <c r="B101" s="180"/>
      <c r="C101" s="3"/>
      <c r="D101" s="370">
        <f ca="1">_xlfn.BITXOR(_xlfn.BITXOR(D100,E100),_xlfn.BITXOR(F100,G100))</f>
        <v>208</v>
      </c>
      <c r="E101" s="370"/>
      <c r="F101" s="370"/>
      <c r="G101" s="370"/>
      <c r="H101" s="321">
        <f ca="1">LEN(_xlfn.BASE(D101,2,8))</f>
        <v>8</v>
      </c>
      <c r="I101" s="370" t="str">
        <f ca="1">_xlfn.BASE(D101,2,8)</f>
        <v>11010000</v>
      </c>
      <c r="J101" s="370"/>
      <c r="K101" s="370"/>
      <c r="L101" s="139"/>
      <c r="M101" s="3"/>
      <c r="N101" s="370">
        <f ca="1">_xlfn.BITXOR(_xlfn.BITXOR(N100,O100),_xlfn.BITXOR(P100,Q100))</f>
        <v>84</v>
      </c>
      <c r="O101" s="370"/>
      <c r="P101" s="370"/>
      <c r="Q101" s="370"/>
      <c r="R101" s="321">
        <f ca="1">LEN(_xlfn.BASE(N101,2,8))</f>
        <v>8</v>
      </c>
      <c r="S101" s="370" t="str">
        <f ca="1">_xlfn.BASE(N101,2,8)</f>
        <v>01010100</v>
      </c>
      <c r="T101" s="370"/>
      <c r="U101" s="370"/>
      <c r="V101" s="139"/>
      <c r="W101" s="3"/>
      <c r="X101" s="370">
        <f ca="1">_xlfn.BITXOR(_xlfn.BITXOR(X100,Y100),_xlfn.BITXOR(Z100,AA100))</f>
        <v>84</v>
      </c>
      <c r="Y101" s="370"/>
      <c r="Z101" s="370"/>
      <c r="AA101" s="370"/>
      <c r="AB101" s="321">
        <f ca="1">LEN(_xlfn.BASE(X101,2,8))</f>
        <v>8</v>
      </c>
      <c r="AC101" s="370" t="str">
        <f ca="1">_xlfn.BASE(X101,2,8)</f>
        <v>01010100</v>
      </c>
      <c r="AD101" s="370"/>
      <c r="AE101" s="370"/>
      <c r="AF101" s="28"/>
      <c r="AG101" s="3"/>
      <c r="AH101" s="370">
        <f ca="1">_xlfn.BITXOR(_xlfn.BITXOR(AH100,AI100),_xlfn.BITXOR(AJ100,AK100))</f>
        <v>185</v>
      </c>
      <c r="AI101" s="370"/>
      <c r="AJ101" s="370"/>
      <c r="AK101" s="370"/>
      <c r="AL101" s="321">
        <f ca="1">LEN(_xlfn.BASE(AH101,2,8))</f>
        <v>8</v>
      </c>
      <c r="AM101" s="370" t="str">
        <f ca="1">_xlfn.BASE(AH101,2,8)</f>
        <v>10111001</v>
      </c>
      <c r="AN101" s="370"/>
      <c r="AO101" s="370"/>
      <c r="AP101" s="179"/>
      <c r="AQ101" s="109"/>
      <c r="AR101" s="109"/>
      <c r="AS101" s="361"/>
      <c r="AT101" s="361"/>
      <c r="AU101" s="109"/>
      <c r="AV101" s="109"/>
      <c r="AW101" s="109"/>
      <c r="AX101" s="361"/>
      <c r="AY101" s="361"/>
      <c r="AZ101" s="109"/>
      <c r="BA101" s="109"/>
      <c r="BB101" s="109"/>
      <c r="BC101" s="361"/>
      <c r="BD101" s="361"/>
      <c r="BE101" s="109"/>
      <c r="BF101" s="109"/>
      <c r="BG101" s="109"/>
      <c r="BH101" s="361"/>
      <c r="BI101" s="361"/>
      <c r="BJ101" s="109"/>
      <c r="BK101" s="109"/>
      <c r="BM101" s="43"/>
    </row>
    <row r="102" spans="2:65" x14ac:dyDescent="0.25">
      <c r="B102" s="177"/>
      <c r="C102" s="3"/>
      <c r="D102" s="3"/>
      <c r="E102" s="3"/>
      <c r="F102" s="3"/>
      <c r="G102" s="3"/>
      <c r="H102" s="3"/>
      <c r="I102" s="3"/>
      <c r="J102" s="3"/>
      <c r="K102" s="3"/>
      <c r="L102" s="3"/>
      <c r="M102" s="3"/>
      <c r="N102" s="3"/>
      <c r="O102" s="3"/>
      <c r="P102" s="3"/>
      <c r="Q102" s="3"/>
      <c r="R102" s="3"/>
      <c r="S102" s="3"/>
      <c r="T102" s="3"/>
      <c r="U102" s="3"/>
      <c r="V102" s="3"/>
      <c r="W102" s="3"/>
      <c r="X102" s="3"/>
      <c r="Y102" s="28"/>
      <c r="Z102" s="28"/>
      <c r="AA102" s="3"/>
      <c r="AB102" s="3"/>
      <c r="AC102" s="3"/>
      <c r="AD102" s="3"/>
      <c r="AE102" s="28"/>
      <c r="AF102" s="28"/>
      <c r="AG102" s="3"/>
      <c r="AH102" s="3"/>
      <c r="AI102" s="28"/>
      <c r="AJ102" s="28"/>
      <c r="AK102" s="3"/>
      <c r="AL102" s="3"/>
      <c r="AM102" s="3"/>
      <c r="AN102" s="3"/>
      <c r="AO102" s="28"/>
      <c r="AP102" s="179"/>
      <c r="AQ102" s="109"/>
      <c r="AR102" s="109"/>
      <c r="AS102" s="109"/>
      <c r="AT102" s="109"/>
      <c r="AU102" s="109"/>
      <c r="AV102" s="109"/>
      <c r="AW102" s="109"/>
      <c r="AX102" s="109"/>
      <c r="AY102" s="109"/>
      <c r="AZ102" s="109"/>
      <c r="BA102" s="109"/>
      <c r="BB102" s="109"/>
      <c r="BC102" s="109"/>
      <c r="BD102" s="109"/>
      <c r="BE102" s="109"/>
      <c r="BF102" s="109"/>
      <c r="BG102" s="109"/>
      <c r="BH102" s="109"/>
      <c r="BI102" s="109"/>
      <c r="BJ102" s="109"/>
      <c r="BK102" s="109"/>
    </row>
    <row r="103" spans="2:65" x14ac:dyDescent="0.25">
      <c r="B103" s="177"/>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178"/>
      <c r="AQ103" s="109"/>
      <c r="AR103" s="361"/>
      <c r="AS103" s="361"/>
      <c r="AT103" s="361"/>
      <c r="AU103" s="361"/>
      <c r="AV103" s="109"/>
      <c r="AW103" s="361"/>
      <c r="AX103" s="361"/>
      <c r="AY103" s="361"/>
      <c r="AZ103" s="361"/>
      <c r="BA103" s="109"/>
      <c r="BB103" s="361"/>
      <c r="BC103" s="361"/>
      <c r="BD103" s="361"/>
      <c r="BE103" s="361"/>
      <c r="BF103" s="109"/>
      <c r="BG103" s="361"/>
      <c r="BH103" s="361"/>
      <c r="BI103" s="361"/>
      <c r="BJ103" s="361"/>
      <c r="BK103" s="109"/>
    </row>
    <row r="104" spans="2:65" x14ac:dyDescent="0.25">
      <c r="B104" s="177"/>
      <c r="C104" s="3"/>
      <c r="D104" s="339" t="s">
        <v>57</v>
      </c>
      <c r="E104" s="339"/>
      <c r="F104" s="339"/>
      <c r="G104" s="339"/>
      <c r="H104" s="139" t="s">
        <v>298</v>
      </c>
      <c r="I104" s="339" t="s">
        <v>256</v>
      </c>
      <c r="J104" s="339"/>
      <c r="K104" s="339"/>
      <c r="L104" s="139"/>
      <c r="M104" s="139"/>
      <c r="N104" s="339" t="s">
        <v>61</v>
      </c>
      <c r="O104" s="339"/>
      <c r="P104" s="339"/>
      <c r="Q104" s="339"/>
      <c r="R104" s="139" t="s">
        <v>298</v>
      </c>
      <c r="S104" s="339" t="s">
        <v>256</v>
      </c>
      <c r="T104" s="339"/>
      <c r="U104" s="339"/>
      <c r="V104" s="139"/>
      <c r="W104" s="139"/>
      <c r="X104" s="339" t="s">
        <v>65</v>
      </c>
      <c r="Y104" s="339"/>
      <c r="Z104" s="339"/>
      <c r="AA104" s="339"/>
      <c r="AB104" s="139" t="s">
        <v>298</v>
      </c>
      <c r="AC104" s="339" t="s">
        <v>256</v>
      </c>
      <c r="AD104" s="339"/>
      <c r="AE104" s="339"/>
      <c r="AF104" s="139"/>
      <c r="AG104" s="139"/>
      <c r="AH104" s="339" t="s">
        <v>69</v>
      </c>
      <c r="AI104" s="339"/>
      <c r="AJ104" s="339"/>
      <c r="AK104" s="339"/>
      <c r="AL104" s="139" t="s">
        <v>298</v>
      </c>
      <c r="AM104" s="339" t="s">
        <v>256</v>
      </c>
      <c r="AN104" s="339"/>
      <c r="AO104" s="339"/>
      <c r="AP104" s="178"/>
      <c r="AQ104" s="109"/>
      <c r="AR104" s="109"/>
      <c r="AS104" s="109"/>
      <c r="AT104" s="109"/>
      <c r="AU104" s="109"/>
      <c r="AV104" s="109"/>
      <c r="AW104" s="109"/>
      <c r="AX104" s="109"/>
      <c r="AY104" s="109"/>
      <c r="AZ104" s="109"/>
      <c r="BA104" s="109"/>
      <c r="BB104" s="109"/>
      <c r="BC104" s="109"/>
      <c r="BD104" s="109"/>
      <c r="BE104" s="109"/>
      <c r="BF104" s="109"/>
      <c r="BG104" s="109"/>
      <c r="BH104" s="109"/>
      <c r="BI104" s="109"/>
      <c r="BJ104" s="109"/>
      <c r="BK104" s="109"/>
    </row>
    <row r="105" spans="2:65" x14ac:dyDescent="0.25">
      <c r="B105" s="371" t="s">
        <v>259</v>
      </c>
      <c r="C105" s="3"/>
      <c r="D105" s="139">
        <f ca="1">$E$86</f>
        <v>147</v>
      </c>
      <c r="E105" s="139">
        <f ca="1">$E$87</f>
        <v>2</v>
      </c>
      <c r="F105" s="139">
        <f ca="1">$E$88</f>
        <v>51</v>
      </c>
      <c r="G105" s="139">
        <f ca="1">$E$89</f>
        <v>216</v>
      </c>
      <c r="H105" s="139" t="str">
        <f ca="1">LEN(_xlfn.BASE(D105,2,8))&amp;","&amp;LEN(_xlfn.BASE(E105,2,8))&amp;","&amp;LEN(_xlfn.BASE(F105,2,8))&amp;","&amp;LEN(_xlfn.BASE(G105,2,8))</f>
        <v>8,8,8,8</v>
      </c>
      <c r="I105" s="339" t="str">
        <f ca="1">_xlfn.BASE(D105,2,8)&amp;","&amp;_xlfn.BASE(E105,2,8)&amp;","&amp;_xlfn.BASE(F105,2,8)&amp;","&amp;_xlfn.BASE(G105,2,8)</f>
        <v>10010011,00000010,00110011,11011000</v>
      </c>
      <c r="J105" s="339"/>
      <c r="K105" s="339"/>
      <c r="L105" s="139"/>
      <c r="M105" s="3"/>
      <c r="N105" s="322">
        <f ca="1">$I$86</f>
        <v>69</v>
      </c>
      <c r="O105" s="322">
        <f ca="1">$I$87</f>
        <v>33</v>
      </c>
      <c r="P105" s="322">
        <f ca="1">$I$88</f>
        <v>21</v>
      </c>
      <c r="Q105" s="322">
        <f ca="1">$I$89</f>
        <v>168</v>
      </c>
      <c r="R105" s="139" t="str">
        <f ca="1">LEN(_xlfn.BASE(N105,2,8))&amp;","&amp;LEN(_xlfn.BASE(O105,2,8))&amp;","&amp;LEN(_xlfn.BASE(P105,2,8))&amp;","&amp;LEN(_xlfn.BASE(Q105,2,8))</f>
        <v>8,8,8,8</v>
      </c>
      <c r="S105" s="339" t="str">
        <f ca="1">_xlfn.BASE(N105,2,8)&amp;","&amp;_xlfn.BASE(O105,2,8)&amp;","&amp;_xlfn.BASE(P105,2,8)&amp;","&amp;_xlfn.BASE(Q105,2,8)</f>
        <v>01000101,00100001,00010101,10101000</v>
      </c>
      <c r="T105" s="339"/>
      <c r="U105" s="339"/>
      <c r="V105" s="139"/>
      <c r="W105" s="3"/>
      <c r="X105" s="322">
        <f ca="1">$M$86</f>
        <v>133</v>
      </c>
      <c r="Y105" s="322">
        <f ca="1">$M$87</f>
        <v>113</v>
      </c>
      <c r="Z105" s="322">
        <f ca="1">$M$88</f>
        <v>133</v>
      </c>
      <c r="AA105" s="322">
        <f ca="1">$M$89</f>
        <v>83</v>
      </c>
      <c r="AB105" s="139" t="str">
        <f ca="1">LEN(_xlfn.BASE(X105,2,8))&amp;","&amp;LEN(_xlfn.BASE(Y105,2,8))&amp;","&amp;LEN(_xlfn.BASE(Z105,2,8))&amp;","&amp;LEN(_xlfn.BASE(AA105,2,8))</f>
        <v>8,8,8,8</v>
      </c>
      <c r="AC105" s="339" t="str">
        <f ca="1">_xlfn.BASE(X105,2,8)&amp;","&amp;_xlfn.BASE(Y105,2,8)&amp;","&amp;_xlfn.BASE(Z105,2,8)&amp;","&amp;_xlfn.BASE(AA105,2,8)</f>
        <v>10000101,01110001,10000101,01010011</v>
      </c>
      <c r="AD105" s="339"/>
      <c r="AE105" s="339"/>
      <c r="AF105" s="3"/>
      <c r="AG105" s="3"/>
      <c r="AH105" s="322">
        <f ca="1">$Q$86</f>
        <v>216</v>
      </c>
      <c r="AI105" s="322">
        <f ca="1">$Q$87</f>
        <v>59</v>
      </c>
      <c r="AJ105" s="322">
        <f ca="1">$Q$88</f>
        <v>247</v>
      </c>
      <c r="AK105" s="322">
        <f ca="1">$Q$89</f>
        <v>168</v>
      </c>
      <c r="AL105" s="139" t="str">
        <f ca="1">LEN(_xlfn.BASE(AH105,2,8))&amp;","&amp;LEN(_xlfn.BASE(AI105,2,8))&amp;","&amp;LEN(_xlfn.BASE(AJ105,2,8))&amp;","&amp;LEN(_xlfn.BASE(AK105,2,8))</f>
        <v>8,8,8,8</v>
      </c>
      <c r="AM105" s="339" t="str">
        <f ca="1">_xlfn.BASE(AH105,2,8)&amp;","&amp;_xlfn.BASE(AI105,2,8)&amp;","&amp;_xlfn.BASE(AJ105,2,8)&amp;","&amp;_xlfn.BASE(AK105,2,8)</f>
        <v>11011000,00111011,11110111,10101000</v>
      </c>
      <c r="AN105" s="339"/>
      <c r="AO105" s="339"/>
      <c r="AP105" s="178"/>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09"/>
    </row>
    <row r="106" spans="2:65" x14ac:dyDescent="0.25">
      <c r="B106" s="371"/>
      <c r="C106" s="139" t="s">
        <v>312</v>
      </c>
      <c r="D106" s="145">
        <v>1</v>
      </c>
      <c r="E106" s="145">
        <v>2</v>
      </c>
      <c r="F106" s="145">
        <v>3</v>
      </c>
      <c r="G106" s="145">
        <v>1</v>
      </c>
      <c r="H106" s="323" t="str">
        <f>LEN(_xlfn.BASE(D106,2,4))&amp;","&amp;LEN(_xlfn.BASE(E106,2,4))&amp;","&amp;LEN(_xlfn.BASE(F106,2,4))&amp;","&amp;LEN(_xlfn.BASE(G106,2,4))</f>
        <v>4,4,4,4</v>
      </c>
      <c r="I106" s="366" t="str">
        <f>_xlfn.BASE(D106,2,4)&amp;","&amp;_xlfn.BASE(E106,2,4)&amp;","&amp;_xlfn.BASE(F106,2,4)&amp;","&amp;_xlfn.BASE(G106,2,4)</f>
        <v>0001,0010,0011,0001</v>
      </c>
      <c r="J106" s="366"/>
      <c r="K106" s="366"/>
      <c r="L106" s="139"/>
      <c r="M106" s="139" t="s">
        <v>312</v>
      </c>
      <c r="N106" s="323">
        <v>1</v>
      </c>
      <c r="O106" s="323">
        <v>2</v>
      </c>
      <c r="P106" s="323">
        <v>3</v>
      </c>
      <c r="Q106" s="323">
        <v>1</v>
      </c>
      <c r="R106" s="323" t="str">
        <f>LEN(_xlfn.BASE(N106,2,4))&amp;","&amp;LEN(_xlfn.BASE(O106,2,4))&amp;","&amp;LEN(_xlfn.BASE(P106,2,4))&amp;","&amp;LEN(_xlfn.BASE(Q106,2,4))</f>
        <v>4,4,4,4</v>
      </c>
      <c r="S106" s="366" t="str">
        <f>_xlfn.BASE(N106,2,4)&amp;","&amp;_xlfn.BASE(O106,2,4)&amp;","&amp;_xlfn.BASE(P106,2,4)&amp;","&amp;_xlfn.BASE(Q106,2,4)</f>
        <v>0001,0010,0011,0001</v>
      </c>
      <c r="T106" s="366"/>
      <c r="U106" s="366"/>
      <c r="V106" s="139"/>
      <c r="W106" s="139" t="s">
        <v>312</v>
      </c>
      <c r="X106" s="323">
        <v>1</v>
      </c>
      <c r="Y106" s="323">
        <v>2</v>
      </c>
      <c r="Z106" s="323">
        <v>3</v>
      </c>
      <c r="AA106" s="323">
        <v>1</v>
      </c>
      <c r="AB106" s="323" t="str">
        <f>LEN(_xlfn.BASE(X106,2,4))&amp;","&amp;LEN(_xlfn.BASE(Y106,2,4))&amp;","&amp;LEN(_xlfn.BASE(Z106,2,4))&amp;","&amp;LEN(_xlfn.BASE(AA106,2,4))</f>
        <v>4,4,4,4</v>
      </c>
      <c r="AC106" s="366" t="str">
        <f>_xlfn.BASE(X106,2,4)&amp;","&amp;_xlfn.BASE(Y106,2,4)&amp;","&amp;_xlfn.BASE(Z106,2,4)&amp;","&amp;_xlfn.BASE(AA106,2,4)</f>
        <v>0001,0010,0011,0001</v>
      </c>
      <c r="AD106" s="366"/>
      <c r="AE106" s="366"/>
      <c r="AF106" s="139"/>
      <c r="AG106" s="139" t="s">
        <v>312</v>
      </c>
      <c r="AH106" s="145">
        <v>1</v>
      </c>
      <c r="AI106" s="145">
        <v>2</v>
      </c>
      <c r="AJ106" s="145">
        <v>3</v>
      </c>
      <c r="AK106" s="145">
        <v>1</v>
      </c>
      <c r="AL106" s="323" t="str">
        <f>LEN(_xlfn.BASE(AH106,2,4))&amp;","&amp;LEN(_xlfn.BASE(AI106,2,4))&amp;","&amp;LEN(_xlfn.BASE(AJ106,2,4))&amp;","&amp;LEN(_xlfn.BASE(AK106,2,4))</f>
        <v>4,4,4,4</v>
      </c>
      <c r="AM106" s="366" t="str">
        <f>_xlfn.BASE(AH106,2,4)&amp;","&amp;_xlfn.BASE(AI106,2,4)&amp;","&amp;_xlfn.BASE(AJ106,2,4)&amp;","&amp;_xlfn.BASE(AK106,2,4)</f>
        <v>0001,0010,0011,0001</v>
      </c>
      <c r="AN106" s="366"/>
      <c r="AO106" s="366"/>
      <c r="AP106" s="17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09"/>
    </row>
    <row r="107" spans="2:65" x14ac:dyDescent="0.25">
      <c r="B107" s="371" t="s">
        <v>311</v>
      </c>
      <c r="C107" s="3"/>
      <c r="D107" s="139">
        <f ca="1">D105*D106</f>
        <v>147</v>
      </c>
      <c r="E107" s="139">
        <f ca="1">E106*E105</f>
        <v>4</v>
      </c>
      <c r="F107" s="139">
        <f ca="1">_xlfn.BITXOR(2*F105,F105)</f>
        <v>85</v>
      </c>
      <c r="G107" s="139">
        <f ca="1">G105*G106</f>
        <v>216</v>
      </c>
      <c r="H107" s="139" t="str">
        <f ca="1">LEN(_xlfn.BASE(D107,2,8))&amp;","&amp;LEN(_xlfn.BASE(E107,2,8))&amp;","&amp;LEN(_xlfn.BASE(F107,2,8))&amp;","&amp;LEN(_xlfn.BASE(G107,2,8))</f>
        <v>8,8,8,8</v>
      </c>
      <c r="I107" s="339" t="str">
        <f ca="1">_xlfn.BASE(D107,2,8)&amp;","&amp;_xlfn.BASE(E107,2,8)&amp;","&amp;_xlfn.BASE(F107,2,8)&amp;","&amp;_xlfn.BASE(G107,2,8)</f>
        <v>10010011,00000100,01010101,11011000</v>
      </c>
      <c r="J107" s="339"/>
      <c r="K107" s="339"/>
      <c r="L107" s="139"/>
      <c r="M107" s="3"/>
      <c r="N107" s="139">
        <f ca="1">N105*N106</f>
        <v>69</v>
      </c>
      <c r="O107" s="139">
        <f ca="1">O106*O105</f>
        <v>66</v>
      </c>
      <c r="P107" s="139">
        <f ca="1">_xlfn.BITXOR(2*P105,P105)</f>
        <v>63</v>
      </c>
      <c r="Q107" s="139">
        <f ca="1">Q105*Q106</f>
        <v>168</v>
      </c>
      <c r="R107" s="139" t="str">
        <f ca="1">LEN(_xlfn.BASE(N107,2,8))&amp;","&amp;LEN(_xlfn.BASE(O107,2,8))&amp;","&amp;LEN(_xlfn.BASE(P107,2,8))&amp;","&amp;LEN(_xlfn.BASE(Q107,2,8))</f>
        <v>8,8,8,8</v>
      </c>
      <c r="S107" s="339" t="str">
        <f ca="1">_xlfn.BASE(N107,2,8)&amp;","&amp;_xlfn.BASE(O107,2,8)&amp;","&amp;_xlfn.BASE(P107,2,8)&amp;","&amp;_xlfn.BASE(Q107,2,8)</f>
        <v>01000101,01000010,00111111,10101000</v>
      </c>
      <c r="T107" s="339"/>
      <c r="U107" s="339"/>
      <c r="V107" s="139"/>
      <c r="W107" s="3"/>
      <c r="X107" s="139">
        <f ca="1">X105*X106</f>
        <v>133</v>
      </c>
      <c r="Y107" s="139">
        <f ca="1">Y106*Y105</f>
        <v>226</v>
      </c>
      <c r="Z107" s="139">
        <f ca="1">_xlfn.BITXOR(2*Z105,Z105)</f>
        <v>399</v>
      </c>
      <c r="AA107" s="139">
        <f ca="1">AA105*AA106</f>
        <v>83</v>
      </c>
      <c r="AB107" s="139" t="str">
        <f ca="1">LEN(_xlfn.BASE(X107,2,8))&amp;","&amp;LEN(_xlfn.BASE(Y107,2,8))&amp;","&amp;LEN(_xlfn.BASE(Z107,2,8))&amp;","&amp;LEN(_xlfn.BASE(AA107,2,8))</f>
        <v>8,8,9,8</v>
      </c>
      <c r="AC107" s="339" t="str">
        <f ca="1">_xlfn.BASE(X107,2,8)&amp;","&amp;_xlfn.BASE(Y107,2,8)&amp;","&amp;_xlfn.BASE(Z107,2,8)&amp;","&amp;_xlfn.BASE(AA107,2,8)</f>
        <v>10000101,11100010,110001111,01010011</v>
      </c>
      <c r="AD107" s="339"/>
      <c r="AE107" s="339"/>
      <c r="AF107" s="139"/>
      <c r="AG107" s="3"/>
      <c r="AH107" s="139">
        <f ca="1">AH105*AH106</f>
        <v>216</v>
      </c>
      <c r="AI107" s="139">
        <f ca="1">AI106*AI105</f>
        <v>118</v>
      </c>
      <c r="AJ107" s="139">
        <f ca="1">_xlfn.BITXOR(2*AJ105,AJ105)</f>
        <v>281</v>
      </c>
      <c r="AK107" s="139">
        <f ca="1">AK105*AK106</f>
        <v>168</v>
      </c>
      <c r="AL107" s="139" t="str">
        <f ca="1">LEN(_xlfn.BASE(AH107,2,8))&amp;","&amp;LEN(_xlfn.BASE(AI107,2,8))&amp;","&amp;LEN(_xlfn.BASE(AJ107,2,8))&amp;","&amp;LEN(_xlfn.BASE(AK107,2,8))</f>
        <v>8,8,9,8</v>
      </c>
      <c r="AM107" s="339" t="str">
        <f ca="1">_xlfn.BASE(AH107,2,8)&amp;","&amp;_xlfn.BASE(AI107,2,8)&amp;","&amp;_xlfn.BASE(AJ107,2,8)&amp;","&amp;_xlfn.BASE(AK107,2,8)</f>
        <v>11011000,01110110,100011001,10101000</v>
      </c>
      <c r="AN107" s="339"/>
      <c r="AO107" s="339"/>
      <c r="AP107" s="179"/>
      <c r="AQ107" s="109"/>
      <c r="AR107" s="109"/>
      <c r="AS107" s="361"/>
      <c r="AT107" s="361"/>
      <c r="AU107" s="109"/>
      <c r="AV107" s="109"/>
      <c r="AW107" s="109"/>
      <c r="AX107" s="361"/>
      <c r="AY107" s="361"/>
      <c r="AZ107" s="109"/>
      <c r="BA107" s="109"/>
      <c r="BB107" s="109"/>
      <c r="BC107" s="361"/>
      <c r="BD107" s="361"/>
      <c r="BE107" s="109"/>
      <c r="BF107" s="109"/>
      <c r="BG107" s="109"/>
      <c r="BH107" s="361"/>
      <c r="BI107" s="361"/>
      <c r="BJ107" s="109"/>
      <c r="BK107" s="109"/>
    </row>
    <row r="108" spans="2:65" x14ac:dyDescent="0.25">
      <c r="B108" s="371"/>
      <c r="C108" s="145" t="s">
        <v>72</v>
      </c>
      <c r="D108" s="145">
        <f ca="1">IF(LEN(_xlfn.BASE(D107,2,8))-9&lt;0,D107,IF(LEN(_xlfn.BASE(D107,2,8))-9=0,283,IF(LEN(_xlfn.BASE(D107,2,8))-9=1,566,IF(LEN(_xlfn.BASE(D107,2,8))-9=2,1132,IF(LEN(_xlfn.BASE(D107,2,8))-9=3,2264)))))</f>
        <v>147</v>
      </c>
      <c r="E108" s="145">
        <f t="shared" ref="E108" ca="1" si="78">IF(LEN(_xlfn.BASE(E107,2,8))-9&lt;0,E107,IF(LEN(_xlfn.BASE(E107,2,8))-9=0,283,IF(LEN(_xlfn.BASE(E107,2,8))-9=1,566,IF(LEN(_xlfn.BASE(E107,2,8))-9=2,1132,IF(LEN(_xlfn.BASE(E107,2,8))-9=3,2264)))))</f>
        <v>4</v>
      </c>
      <c r="F108" s="145">
        <f t="shared" ref="F108" ca="1" si="79">IF(LEN(_xlfn.BASE(F107,2,8))-9&lt;0,F107,IF(LEN(_xlfn.BASE(F107,2,8))-9=0,283,IF(LEN(_xlfn.BASE(F107,2,8))-9=1,566,IF(LEN(_xlfn.BASE(F107,2,8))-9=2,1132,IF(LEN(_xlfn.BASE(F107,2,8))-9=3,2264)))))</f>
        <v>85</v>
      </c>
      <c r="G108" s="145">
        <f t="shared" ref="G108" ca="1" si="80">IF(LEN(_xlfn.BASE(G107,2,8))-9&lt;0,G107,IF(LEN(_xlfn.BASE(G107,2,8))-9=0,283,IF(LEN(_xlfn.BASE(G107,2,8))-9=1,566,IF(LEN(_xlfn.BASE(G107,2,8))-9=2,1132,IF(LEN(_xlfn.BASE(G107,2,8))-9=3,2264)))))</f>
        <v>216</v>
      </c>
      <c r="H108" s="145" t="str">
        <f t="shared" ref="H108" ca="1" si="81">LEN(_xlfn.BASE(D108,2,8))&amp;","&amp;LEN(_xlfn.BASE(E108,2,8))&amp;","&amp;LEN(_xlfn.BASE(F108,2,8))&amp;","&amp;LEN(_xlfn.BASE(G108,2,8))</f>
        <v>8,8,8,8</v>
      </c>
      <c r="I108" s="366" t="str">
        <f t="shared" ref="I108:I113" ca="1" si="82">_xlfn.BASE(D108,2,8)&amp;","&amp;_xlfn.BASE(E108,2,8)&amp;","&amp;_xlfn.BASE(F108,2,8)&amp;","&amp;_xlfn.BASE(G108,2,8)</f>
        <v>10010011,00000100,01010101,11011000</v>
      </c>
      <c r="J108" s="366"/>
      <c r="K108" s="366"/>
      <c r="L108" s="139"/>
      <c r="M108" s="145" t="s">
        <v>72</v>
      </c>
      <c r="N108" s="145">
        <f ca="1">IF(LEN(_xlfn.BASE(N107,2,8))-9&lt;0,N107,IF(LEN(_xlfn.BASE(N107,2,8))-9=0,283,IF(LEN(_xlfn.BASE(N107,2,8))-9=1,566,IF(LEN(_xlfn.BASE(N107,2,8))-9=2,1132,IF(LEN(_xlfn.BASE(N107,2,8))-9=3,2264)))))</f>
        <v>69</v>
      </c>
      <c r="O108" s="145">
        <f t="shared" ref="O108" ca="1" si="83">IF(LEN(_xlfn.BASE(O107,2,8))-9&lt;0,O107,IF(LEN(_xlfn.BASE(O107,2,8))-9=0,283,IF(LEN(_xlfn.BASE(O107,2,8))-9=1,566,IF(LEN(_xlfn.BASE(O107,2,8))-9=2,1132,IF(LEN(_xlfn.BASE(O107,2,8))-9=3,2264)))))</f>
        <v>66</v>
      </c>
      <c r="P108" s="145">
        <f t="shared" ref="P108" ca="1" si="84">IF(LEN(_xlfn.BASE(P107,2,8))-9&lt;0,P107,IF(LEN(_xlfn.BASE(P107,2,8))-9=0,283,IF(LEN(_xlfn.BASE(P107,2,8))-9=1,566,IF(LEN(_xlfn.BASE(P107,2,8))-9=2,1132,IF(LEN(_xlfn.BASE(P107,2,8))-9=3,2264)))))</f>
        <v>63</v>
      </c>
      <c r="Q108" s="145">
        <f t="shared" ref="Q108" ca="1" si="85">IF(LEN(_xlfn.BASE(Q107,2,8))-9&lt;0,Q107,IF(LEN(_xlfn.BASE(Q107,2,8))-9=0,283,IF(LEN(_xlfn.BASE(Q107,2,8))-9=1,566,IF(LEN(_xlfn.BASE(Q107,2,8))-9=2,1132,IF(LEN(_xlfn.BASE(Q107,2,8))-9=3,2264)))))</f>
        <v>168</v>
      </c>
      <c r="R108" s="145" t="str">
        <f t="shared" ref="R108" ca="1" si="86">LEN(_xlfn.BASE(N108,2,8))&amp;","&amp;LEN(_xlfn.BASE(O108,2,8))&amp;","&amp;LEN(_xlfn.BASE(P108,2,8))&amp;","&amp;LEN(_xlfn.BASE(Q108,2,8))</f>
        <v>8,8,8,8</v>
      </c>
      <c r="S108" s="366" t="str">
        <f t="shared" ref="S108:S113" ca="1" si="87">_xlfn.BASE(N108,2,8)&amp;","&amp;_xlfn.BASE(O108,2,8)&amp;","&amp;_xlfn.BASE(P108,2,8)&amp;","&amp;_xlfn.BASE(Q108,2,8)</f>
        <v>01000101,01000010,00111111,10101000</v>
      </c>
      <c r="T108" s="366"/>
      <c r="U108" s="366"/>
      <c r="V108" s="139"/>
      <c r="W108" s="145" t="s">
        <v>72</v>
      </c>
      <c r="X108" s="145">
        <f ca="1">IF(LEN(_xlfn.BASE(X107,2,8))-9&lt;0,X107,IF(LEN(_xlfn.BASE(X107,2,8))-9=0,283,IF(LEN(_xlfn.BASE(X107,2,8))-9=1,566,IF(LEN(_xlfn.BASE(X107,2,8))-9=2,1132,IF(LEN(_xlfn.BASE(X107,2,8))-9=3,2264)))))</f>
        <v>133</v>
      </c>
      <c r="Y108" s="145">
        <f t="shared" ref="Y108" ca="1" si="88">IF(LEN(_xlfn.BASE(Y107,2,8))-9&lt;0,Y107,IF(LEN(_xlfn.BASE(Y107,2,8))-9=0,283,IF(LEN(_xlfn.BASE(Y107,2,8))-9=1,566,IF(LEN(_xlfn.BASE(Y107,2,8))-9=2,1132,IF(LEN(_xlfn.BASE(Y107,2,8))-9=3,2264)))))</f>
        <v>226</v>
      </c>
      <c r="Z108" s="145">
        <f t="shared" ref="Z108" ca="1" si="89">IF(LEN(_xlfn.BASE(Z107,2,8))-9&lt;0,Z107,IF(LEN(_xlfn.BASE(Z107,2,8))-9=0,283,IF(LEN(_xlfn.BASE(Z107,2,8))-9=1,566,IF(LEN(_xlfn.BASE(Z107,2,8))-9=2,1132,IF(LEN(_xlfn.BASE(Z107,2,8))-9=3,2264)))))</f>
        <v>283</v>
      </c>
      <c r="AA108" s="145">
        <f t="shared" ref="AA108" ca="1" si="90">IF(LEN(_xlfn.BASE(AA107,2,8))-9&lt;0,AA107,IF(LEN(_xlfn.BASE(AA107,2,8))-9=0,283,IF(LEN(_xlfn.BASE(AA107,2,8))-9=1,566,IF(LEN(_xlfn.BASE(AA107,2,8))-9=2,1132,IF(LEN(_xlfn.BASE(AA107,2,8))-9=3,2264)))))</f>
        <v>83</v>
      </c>
      <c r="AB108" s="145" t="str">
        <f t="shared" ref="AB108" ca="1" si="91">LEN(_xlfn.BASE(X108,2,8))&amp;","&amp;LEN(_xlfn.BASE(Y108,2,8))&amp;","&amp;LEN(_xlfn.BASE(Z108,2,8))&amp;","&amp;LEN(_xlfn.BASE(AA108,2,8))</f>
        <v>8,8,9,8</v>
      </c>
      <c r="AC108" s="366" t="str">
        <f t="shared" ref="AC108:AC113" ca="1" si="92">_xlfn.BASE(X108,2,8)&amp;","&amp;_xlfn.BASE(Y108,2,8)&amp;","&amp;_xlfn.BASE(Z108,2,8)&amp;","&amp;_xlfn.BASE(AA108,2,8)</f>
        <v>10000101,11100010,100011011,01010011</v>
      </c>
      <c r="AD108" s="366"/>
      <c r="AE108" s="366"/>
      <c r="AF108" s="139"/>
      <c r="AG108" s="145" t="s">
        <v>72</v>
      </c>
      <c r="AH108" s="145">
        <f ca="1">IF(LEN(_xlfn.BASE(AH107,2,8))-9&lt;0,AH107,IF(LEN(_xlfn.BASE(AH107,2,8))-9=0,283,IF(LEN(_xlfn.BASE(AH107,2,8))-9=1,566,IF(LEN(_xlfn.BASE(AH107,2,8))-9=2,1132,IF(LEN(_xlfn.BASE(AH107,2,8))-9=3,2264)))))</f>
        <v>216</v>
      </c>
      <c r="AI108" s="145">
        <f t="shared" ref="AI108" ca="1" si="93">IF(LEN(_xlfn.BASE(AI107,2,8))-9&lt;0,AI107,IF(LEN(_xlfn.BASE(AI107,2,8))-9=0,283,IF(LEN(_xlfn.BASE(AI107,2,8))-9=1,566,IF(LEN(_xlfn.BASE(AI107,2,8))-9=2,1132,IF(LEN(_xlfn.BASE(AI107,2,8))-9=3,2264)))))</f>
        <v>118</v>
      </c>
      <c r="AJ108" s="145">
        <f t="shared" ref="AJ108" ca="1" si="94">IF(LEN(_xlfn.BASE(AJ107,2,8))-9&lt;0,AJ107,IF(LEN(_xlfn.BASE(AJ107,2,8))-9=0,283,IF(LEN(_xlfn.BASE(AJ107,2,8))-9=1,566,IF(LEN(_xlfn.BASE(AJ107,2,8))-9=2,1132,IF(LEN(_xlfn.BASE(AJ107,2,8))-9=3,2264)))))</f>
        <v>283</v>
      </c>
      <c r="AK108" s="145">
        <f t="shared" ref="AK108" ca="1" si="95">IF(LEN(_xlfn.BASE(AK107,2,8))-9&lt;0,AK107,IF(LEN(_xlfn.BASE(AK107,2,8))-9=0,283,IF(LEN(_xlfn.BASE(AK107,2,8))-9=1,566,IF(LEN(_xlfn.BASE(AK107,2,8))-9=2,1132,IF(LEN(_xlfn.BASE(AK107,2,8))-9=3,2264)))))</f>
        <v>168</v>
      </c>
      <c r="AL108" s="145" t="str">
        <f t="shared" ref="AL108" ca="1" si="96">LEN(_xlfn.BASE(AH108,2,8))&amp;","&amp;LEN(_xlfn.BASE(AI108,2,8))&amp;","&amp;LEN(_xlfn.BASE(AJ108,2,8))&amp;","&amp;LEN(_xlfn.BASE(AK108,2,8))</f>
        <v>8,8,9,8</v>
      </c>
      <c r="AM108" s="366" t="str">
        <f t="shared" ref="AM108:AM113" ca="1" si="97">_xlfn.BASE(AH108,2,8)&amp;","&amp;_xlfn.BASE(AI108,2,8)&amp;","&amp;_xlfn.BASE(AJ108,2,8)&amp;","&amp;_xlfn.BASE(AK108,2,8)</f>
        <v>11011000,01110110,100011011,10101000</v>
      </c>
      <c r="AN108" s="366"/>
      <c r="AO108" s="366"/>
      <c r="AP108" s="179"/>
      <c r="AQ108" s="109"/>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row>
    <row r="109" spans="2:65" x14ac:dyDescent="0.25">
      <c r="B109" s="371"/>
      <c r="C109" s="139"/>
      <c r="D109" s="139">
        <f ca="1">IF(_xlfn.BITXOR(D107,D108)=0,D107,_xlfn.BITXOR(D107,D108))</f>
        <v>147</v>
      </c>
      <c r="E109" s="139">
        <f t="shared" ref="E109" ca="1" si="98">IF(_xlfn.BITXOR(E107,E108)=0,E107,_xlfn.BITXOR(E107,E108))</f>
        <v>4</v>
      </c>
      <c r="F109" s="139">
        <f t="shared" ref="F109" ca="1" si="99">IF(_xlfn.BITXOR(F107,F108)=0,F107,_xlfn.BITXOR(F107,F108))</f>
        <v>85</v>
      </c>
      <c r="G109" s="139">
        <f t="shared" ref="G109" ca="1" si="100">IF(_xlfn.BITXOR(G107,G108)=0,G107,_xlfn.BITXOR(G107,G108))</f>
        <v>216</v>
      </c>
      <c r="H109" s="139" t="str">
        <f ca="1">LEN(_xlfn.BASE(D109,2,8))&amp;","&amp;LEN(_xlfn.BASE(E109,2,8))&amp;","&amp;LEN(_xlfn.BASE(F109,2,8))&amp;","&amp;LEN(_xlfn.BASE(G109,2,8))</f>
        <v>8,8,8,8</v>
      </c>
      <c r="I109" s="339" t="str">
        <f t="shared" ca="1" si="82"/>
        <v>10010011,00000100,01010101,11011000</v>
      </c>
      <c r="J109" s="339"/>
      <c r="K109" s="339"/>
      <c r="L109" s="3"/>
      <c r="M109" s="139"/>
      <c r="N109" s="139">
        <f ca="1">IF(_xlfn.BITXOR(N107,N108)=0,N107,_xlfn.BITXOR(N107,N108))</f>
        <v>69</v>
      </c>
      <c r="O109" s="139">
        <f t="shared" ref="O109" ca="1" si="101">IF(_xlfn.BITXOR(O107,O108)=0,O107,_xlfn.BITXOR(O107,O108))</f>
        <v>66</v>
      </c>
      <c r="P109" s="139">
        <f t="shared" ref="P109" ca="1" si="102">IF(_xlfn.BITXOR(P107,P108)=0,P107,_xlfn.BITXOR(P107,P108))</f>
        <v>63</v>
      </c>
      <c r="Q109" s="139">
        <f t="shared" ref="Q109" ca="1" si="103">IF(_xlfn.BITXOR(Q107,Q108)=0,Q107,_xlfn.BITXOR(Q107,Q108))</f>
        <v>168</v>
      </c>
      <c r="R109" s="139" t="str">
        <f ca="1">LEN(_xlfn.BASE(N109,2,8))&amp;","&amp;LEN(_xlfn.BASE(O109,2,8))&amp;","&amp;LEN(_xlfn.BASE(P109,2,8))&amp;","&amp;LEN(_xlfn.BASE(Q109,2,8))</f>
        <v>8,8,8,8</v>
      </c>
      <c r="S109" s="339" t="str">
        <f t="shared" ca="1" si="87"/>
        <v>01000101,01000010,00111111,10101000</v>
      </c>
      <c r="T109" s="339"/>
      <c r="U109" s="339"/>
      <c r="V109" s="3"/>
      <c r="W109" s="139"/>
      <c r="X109" s="139">
        <f ca="1">IF(_xlfn.BITXOR(X107,X108)=0,X107,_xlfn.BITXOR(X107,X108))</f>
        <v>133</v>
      </c>
      <c r="Y109" s="139">
        <f t="shared" ref="Y109" ca="1" si="104">IF(_xlfn.BITXOR(Y107,Y108)=0,Y107,_xlfn.BITXOR(Y107,Y108))</f>
        <v>226</v>
      </c>
      <c r="Z109" s="139">
        <f t="shared" ref="Z109" ca="1" si="105">IF(_xlfn.BITXOR(Z107,Z108)=0,Z107,_xlfn.BITXOR(Z107,Z108))</f>
        <v>148</v>
      </c>
      <c r="AA109" s="139">
        <f t="shared" ref="AA109" ca="1" si="106">IF(_xlfn.BITXOR(AA107,AA108)=0,AA107,_xlfn.BITXOR(AA107,AA108))</f>
        <v>83</v>
      </c>
      <c r="AB109" s="139" t="str">
        <f ca="1">LEN(_xlfn.BASE(X109,2,8))&amp;","&amp;LEN(_xlfn.BASE(Y109,2,8))&amp;","&amp;LEN(_xlfn.BASE(Z109,2,8))&amp;","&amp;LEN(_xlfn.BASE(AA109,2,8))</f>
        <v>8,8,8,8</v>
      </c>
      <c r="AC109" s="339" t="str">
        <f t="shared" ca="1" si="92"/>
        <v>10000101,11100010,10010100,01010011</v>
      </c>
      <c r="AD109" s="339"/>
      <c r="AE109" s="339"/>
      <c r="AF109" s="139"/>
      <c r="AG109" s="139"/>
      <c r="AH109" s="139">
        <f ca="1">IF(_xlfn.BITXOR(AH107,AH108)=0,AH107,_xlfn.BITXOR(AH107,AH108))</f>
        <v>216</v>
      </c>
      <c r="AI109" s="139">
        <f t="shared" ref="AI109" ca="1" si="107">IF(_xlfn.BITXOR(AI107,AI108)=0,AI107,_xlfn.BITXOR(AI107,AI108))</f>
        <v>118</v>
      </c>
      <c r="AJ109" s="139">
        <f t="shared" ref="AJ109" ca="1" si="108">IF(_xlfn.BITXOR(AJ107,AJ108)=0,AJ107,_xlfn.BITXOR(AJ107,AJ108))</f>
        <v>2</v>
      </c>
      <c r="AK109" s="139">
        <f t="shared" ref="AK109" ca="1" si="109">IF(_xlfn.BITXOR(AK107,AK108)=0,AK107,_xlfn.BITXOR(AK107,AK108))</f>
        <v>168</v>
      </c>
      <c r="AL109" s="139" t="str">
        <f ca="1">LEN(_xlfn.BASE(AH109,2,8))&amp;","&amp;LEN(_xlfn.BASE(AI109,2,8))&amp;","&amp;LEN(_xlfn.BASE(AJ109,2,8))&amp;","&amp;LEN(_xlfn.BASE(AK109,2,8))</f>
        <v>8,8,8,8</v>
      </c>
      <c r="AM109" s="339" t="str">
        <f t="shared" ca="1" si="97"/>
        <v>11011000,01110110,00000010,10101000</v>
      </c>
      <c r="AN109" s="339"/>
      <c r="AO109" s="339"/>
      <c r="AP109" s="178"/>
      <c r="AQ109" s="109"/>
      <c r="AR109" s="361"/>
      <c r="AS109" s="361"/>
      <c r="AT109" s="361"/>
      <c r="AU109" s="361"/>
      <c r="AV109" s="109"/>
      <c r="AW109" s="361"/>
      <c r="AX109" s="361"/>
      <c r="AY109" s="361"/>
      <c r="AZ109" s="361"/>
      <c r="BA109" s="109"/>
      <c r="BB109" s="361"/>
      <c r="BC109" s="361"/>
      <c r="BD109" s="361"/>
      <c r="BE109" s="361"/>
      <c r="BF109" s="109"/>
      <c r="BG109" s="361"/>
      <c r="BH109" s="361"/>
      <c r="BI109" s="361"/>
      <c r="BJ109" s="361"/>
      <c r="BK109" s="109"/>
    </row>
    <row r="110" spans="2:65" x14ac:dyDescent="0.25">
      <c r="B110" s="371"/>
      <c r="C110" s="145" t="s">
        <v>72</v>
      </c>
      <c r="D110" s="145">
        <f ca="1">IF(LEN(_xlfn.BASE(D109,2,8))-9&lt;0,D109,IF(LEN(_xlfn.BASE(D109,2,8))-9=0,283,IF(LEN(_xlfn.BASE(D109,2,8))-9=1,566,IF(LEN(_xlfn.BASE(D109,2,8))-9=2,1132,IF(LEN(_xlfn.BASE(D109,2,8))-9=3,2264)))))</f>
        <v>147</v>
      </c>
      <c r="E110" s="145">
        <f t="shared" ref="E110" ca="1" si="110">IF(LEN(_xlfn.BASE(E109,2,8))-9&lt;0,E109,IF(LEN(_xlfn.BASE(E109,2,8))-9=0,283,IF(LEN(_xlfn.BASE(E109,2,8))-9=1,566,IF(LEN(_xlfn.BASE(E109,2,8))-9=2,1132,IF(LEN(_xlfn.BASE(E109,2,8))-9=3,2264)))))</f>
        <v>4</v>
      </c>
      <c r="F110" s="145">
        <f t="shared" ref="F110" ca="1" si="111">IF(LEN(_xlfn.BASE(F109,2,8))-9&lt;0,F109,IF(LEN(_xlfn.BASE(F109,2,8))-9=0,283,IF(LEN(_xlfn.BASE(F109,2,8))-9=1,566,IF(LEN(_xlfn.BASE(F109,2,8))-9=2,1132,IF(LEN(_xlfn.BASE(F109,2,8))-9=3,2264)))))</f>
        <v>85</v>
      </c>
      <c r="G110" s="145">
        <f t="shared" ref="G110" ca="1" si="112">IF(LEN(_xlfn.BASE(G109,2,8))-9&lt;0,G109,IF(LEN(_xlfn.BASE(G109,2,8))-9=0,283,IF(LEN(_xlfn.BASE(G109,2,8))-9=1,566,IF(LEN(_xlfn.BASE(G109,2,8))-9=2,1132,IF(LEN(_xlfn.BASE(G109,2,8))-9=3,2264)))))</f>
        <v>216</v>
      </c>
      <c r="H110" s="145" t="str">
        <f t="shared" ref="H110:H113" ca="1" si="113">LEN(_xlfn.BASE(D110,2,8))&amp;","&amp;LEN(_xlfn.BASE(E110,2,8))&amp;","&amp;LEN(_xlfn.BASE(F110,2,8))&amp;","&amp;LEN(_xlfn.BASE(G110,2,8))</f>
        <v>8,8,8,8</v>
      </c>
      <c r="I110" s="366" t="str">
        <f t="shared" ca="1" si="82"/>
        <v>10010011,00000100,01010101,11011000</v>
      </c>
      <c r="J110" s="366"/>
      <c r="K110" s="366"/>
      <c r="L110" s="3"/>
      <c r="M110" s="145" t="s">
        <v>72</v>
      </c>
      <c r="N110" s="145">
        <f ca="1">IF(LEN(_xlfn.BASE(N109,2,8))-9&lt;0,N109,IF(LEN(_xlfn.BASE(N109,2,8))-9=0,283,IF(LEN(_xlfn.BASE(N109,2,8))-9=1,566,IF(LEN(_xlfn.BASE(N109,2,8))-9=2,1132,IF(LEN(_xlfn.BASE(N109,2,8))-9=3,2264)))))</f>
        <v>69</v>
      </c>
      <c r="O110" s="145">
        <f t="shared" ref="O110" ca="1" si="114">IF(LEN(_xlfn.BASE(O109,2,8))-9&lt;0,O109,IF(LEN(_xlfn.BASE(O109,2,8))-9=0,283,IF(LEN(_xlfn.BASE(O109,2,8))-9=1,566,IF(LEN(_xlfn.BASE(O109,2,8))-9=2,1132,IF(LEN(_xlfn.BASE(O109,2,8))-9=3,2264)))))</f>
        <v>66</v>
      </c>
      <c r="P110" s="145">
        <f t="shared" ref="P110" ca="1" si="115">IF(LEN(_xlfn.BASE(P109,2,8))-9&lt;0,P109,IF(LEN(_xlfn.BASE(P109,2,8))-9=0,283,IF(LEN(_xlfn.BASE(P109,2,8))-9=1,566,IF(LEN(_xlfn.BASE(P109,2,8))-9=2,1132,IF(LEN(_xlfn.BASE(P109,2,8))-9=3,2264)))))</f>
        <v>63</v>
      </c>
      <c r="Q110" s="145">
        <f t="shared" ref="Q110" ca="1" si="116">IF(LEN(_xlfn.BASE(Q109,2,8))-9&lt;0,Q109,IF(LEN(_xlfn.BASE(Q109,2,8))-9=0,283,IF(LEN(_xlfn.BASE(Q109,2,8))-9=1,566,IF(LEN(_xlfn.BASE(Q109,2,8))-9=2,1132,IF(LEN(_xlfn.BASE(Q109,2,8))-9=3,2264)))))</f>
        <v>168</v>
      </c>
      <c r="R110" s="145" t="str">
        <f t="shared" ref="R110:R113" ca="1" si="117">LEN(_xlfn.BASE(N110,2,8))&amp;","&amp;LEN(_xlfn.BASE(O110,2,8))&amp;","&amp;LEN(_xlfn.BASE(P110,2,8))&amp;","&amp;LEN(_xlfn.BASE(Q110,2,8))</f>
        <v>8,8,8,8</v>
      </c>
      <c r="S110" s="366" t="str">
        <f t="shared" ca="1" si="87"/>
        <v>01000101,01000010,00111111,10101000</v>
      </c>
      <c r="T110" s="366"/>
      <c r="U110" s="366"/>
      <c r="V110" s="3"/>
      <c r="W110" s="145" t="s">
        <v>72</v>
      </c>
      <c r="X110" s="145">
        <f ca="1">IF(LEN(_xlfn.BASE(X109,2,8))-9&lt;0,X109,IF(LEN(_xlfn.BASE(X109,2,8))-9=0,283,IF(LEN(_xlfn.BASE(X109,2,8))-9=1,566,IF(LEN(_xlfn.BASE(X109,2,8))-9=2,1132,IF(LEN(_xlfn.BASE(X109,2,8))-9=3,2264)))))</f>
        <v>133</v>
      </c>
      <c r="Y110" s="145">
        <f t="shared" ref="Y110" ca="1" si="118">IF(LEN(_xlfn.BASE(Y109,2,8))-9&lt;0,Y109,IF(LEN(_xlfn.BASE(Y109,2,8))-9=0,283,IF(LEN(_xlfn.BASE(Y109,2,8))-9=1,566,IF(LEN(_xlfn.BASE(Y109,2,8))-9=2,1132,IF(LEN(_xlfn.BASE(Y109,2,8))-9=3,2264)))))</f>
        <v>226</v>
      </c>
      <c r="Z110" s="145">
        <f t="shared" ref="Z110" ca="1" si="119">IF(LEN(_xlfn.BASE(Z109,2,8))-9&lt;0,Z109,IF(LEN(_xlfn.BASE(Z109,2,8))-9=0,283,IF(LEN(_xlfn.BASE(Z109,2,8))-9=1,566,IF(LEN(_xlfn.BASE(Z109,2,8))-9=2,1132,IF(LEN(_xlfn.BASE(Z109,2,8))-9=3,2264)))))</f>
        <v>148</v>
      </c>
      <c r="AA110" s="145">
        <f t="shared" ref="AA110" ca="1" si="120">IF(LEN(_xlfn.BASE(AA109,2,8))-9&lt;0,AA109,IF(LEN(_xlfn.BASE(AA109,2,8))-9=0,283,IF(LEN(_xlfn.BASE(AA109,2,8))-9=1,566,IF(LEN(_xlfn.BASE(AA109,2,8))-9=2,1132,IF(LEN(_xlfn.BASE(AA109,2,8))-9=3,2264)))))</f>
        <v>83</v>
      </c>
      <c r="AB110" s="145" t="str">
        <f t="shared" ref="AB110:AB113" ca="1" si="121">LEN(_xlfn.BASE(X110,2,8))&amp;","&amp;LEN(_xlfn.BASE(Y110,2,8))&amp;","&amp;LEN(_xlfn.BASE(Z110,2,8))&amp;","&amp;LEN(_xlfn.BASE(AA110,2,8))</f>
        <v>8,8,8,8</v>
      </c>
      <c r="AC110" s="366" t="str">
        <f t="shared" ca="1" si="92"/>
        <v>10000101,11100010,10010100,01010011</v>
      </c>
      <c r="AD110" s="366"/>
      <c r="AE110" s="366"/>
      <c r="AF110" s="139"/>
      <c r="AG110" s="145" t="s">
        <v>72</v>
      </c>
      <c r="AH110" s="145">
        <f ca="1">IF(LEN(_xlfn.BASE(AH109,2,8))-9&lt;0,AH109,IF(LEN(_xlfn.BASE(AH109,2,8))-9=0,283,IF(LEN(_xlfn.BASE(AH109,2,8))-9=1,566,IF(LEN(_xlfn.BASE(AH109,2,8))-9=2,1132,IF(LEN(_xlfn.BASE(AH109,2,8))-9=3,2264)))))</f>
        <v>216</v>
      </c>
      <c r="AI110" s="145">
        <f t="shared" ref="AI110" ca="1" si="122">IF(LEN(_xlfn.BASE(AI109,2,8))-9&lt;0,AI109,IF(LEN(_xlfn.BASE(AI109,2,8))-9=0,283,IF(LEN(_xlfn.BASE(AI109,2,8))-9=1,566,IF(LEN(_xlfn.BASE(AI109,2,8))-9=2,1132,IF(LEN(_xlfn.BASE(AI109,2,8))-9=3,2264)))))</f>
        <v>118</v>
      </c>
      <c r="AJ110" s="145">
        <f t="shared" ref="AJ110" ca="1" si="123">IF(LEN(_xlfn.BASE(AJ109,2,8))-9&lt;0,AJ109,IF(LEN(_xlfn.BASE(AJ109,2,8))-9=0,283,IF(LEN(_xlfn.BASE(AJ109,2,8))-9=1,566,IF(LEN(_xlfn.BASE(AJ109,2,8))-9=2,1132,IF(LEN(_xlfn.BASE(AJ109,2,8))-9=3,2264)))))</f>
        <v>2</v>
      </c>
      <c r="AK110" s="145">
        <f t="shared" ref="AK110" ca="1" si="124">IF(LEN(_xlfn.BASE(AK109,2,8))-9&lt;0,AK109,IF(LEN(_xlfn.BASE(AK109,2,8))-9=0,283,IF(LEN(_xlfn.BASE(AK109,2,8))-9=1,566,IF(LEN(_xlfn.BASE(AK109,2,8))-9=2,1132,IF(LEN(_xlfn.BASE(AK109,2,8))-9=3,2264)))))</f>
        <v>168</v>
      </c>
      <c r="AL110" s="145" t="str">
        <f t="shared" ref="AL110:AL113" ca="1" si="125">LEN(_xlfn.BASE(AH110,2,8))&amp;","&amp;LEN(_xlfn.BASE(AI110,2,8))&amp;","&amp;LEN(_xlfn.BASE(AJ110,2,8))&amp;","&amp;LEN(_xlfn.BASE(AK110,2,8))</f>
        <v>8,8,8,8</v>
      </c>
      <c r="AM110" s="366" t="str">
        <f t="shared" ca="1" si="97"/>
        <v>11011000,01110110,00000010,10101000</v>
      </c>
      <c r="AN110" s="366"/>
      <c r="AO110" s="366"/>
      <c r="AP110" s="178"/>
      <c r="AQ110" s="109"/>
      <c r="AR110" s="109"/>
      <c r="AS110" s="109"/>
      <c r="AT110" s="109"/>
      <c r="AU110" s="109"/>
      <c r="AV110" s="109"/>
      <c r="AW110" s="109"/>
      <c r="AX110" s="109"/>
      <c r="AY110" s="109"/>
      <c r="AZ110" s="109"/>
      <c r="BA110" s="109"/>
      <c r="BB110" s="109"/>
      <c r="BC110" s="109"/>
      <c r="BD110" s="109"/>
      <c r="BE110" s="109"/>
      <c r="BF110" s="109"/>
      <c r="BG110" s="109"/>
      <c r="BH110" s="109"/>
      <c r="BI110" s="109"/>
      <c r="BJ110" s="109"/>
      <c r="BK110" s="109"/>
    </row>
    <row r="111" spans="2:65" x14ac:dyDescent="0.25">
      <c r="B111" s="371"/>
      <c r="C111" s="139"/>
      <c r="D111" s="139">
        <f ca="1">IF(_xlfn.BITXOR(D109,D110)=0,D110,_xlfn.BITXOR(D109,D110))</f>
        <v>147</v>
      </c>
      <c r="E111" s="139">
        <f t="shared" ref="E111" ca="1" si="126">IF(_xlfn.BITXOR(E109,E110)=0,E110,_xlfn.BITXOR(E109,E110))</f>
        <v>4</v>
      </c>
      <c r="F111" s="139">
        <f t="shared" ref="F111" ca="1" si="127">IF(_xlfn.BITXOR(F109,F110)=0,F110,_xlfn.BITXOR(F109,F110))</f>
        <v>85</v>
      </c>
      <c r="G111" s="139">
        <f t="shared" ref="G111" ca="1" si="128">IF(_xlfn.BITXOR(G109,G110)=0,G110,_xlfn.BITXOR(G109,G110))</f>
        <v>216</v>
      </c>
      <c r="H111" s="139" t="str">
        <f t="shared" ca="1" si="113"/>
        <v>8,8,8,8</v>
      </c>
      <c r="I111" s="339" t="str">
        <f t="shared" ca="1" si="82"/>
        <v>10010011,00000100,01010101,11011000</v>
      </c>
      <c r="J111" s="339"/>
      <c r="K111" s="339"/>
      <c r="L111" s="139"/>
      <c r="M111" s="139"/>
      <c r="N111" s="139">
        <f ca="1">IF(_xlfn.BITXOR(N109,N110)=0,N110,_xlfn.BITXOR(N109,N110))</f>
        <v>69</v>
      </c>
      <c r="O111" s="139">
        <f t="shared" ref="O111" ca="1" si="129">IF(_xlfn.BITXOR(O109,O110)=0,O110,_xlfn.BITXOR(O109,O110))</f>
        <v>66</v>
      </c>
      <c r="P111" s="139">
        <f t="shared" ref="P111" ca="1" si="130">IF(_xlfn.BITXOR(P109,P110)=0,P110,_xlfn.BITXOR(P109,P110))</f>
        <v>63</v>
      </c>
      <c r="Q111" s="139">
        <f t="shared" ref="Q111" ca="1" si="131">IF(_xlfn.BITXOR(Q109,Q110)=0,Q110,_xlfn.BITXOR(Q109,Q110))</f>
        <v>168</v>
      </c>
      <c r="R111" s="139" t="str">
        <f t="shared" ca="1" si="117"/>
        <v>8,8,8,8</v>
      </c>
      <c r="S111" s="339" t="str">
        <f t="shared" ca="1" si="87"/>
        <v>01000101,01000010,00111111,10101000</v>
      </c>
      <c r="T111" s="339"/>
      <c r="U111" s="339"/>
      <c r="V111" s="139"/>
      <c r="W111" s="139"/>
      <c r="X111" s="139">
        <f ca="1">IF(_xlfn.BITXOR(X109,X110)=0,X110,_xlfn.BITXOR(X109,X110))</f>
        <v>133</v>
      </c>
      <c r="Y111" s="139">
        <f t="shared" ref="Y111" ca="1" si="132">IF(_xlfn.BITXOR(Y109,Y110)=0,Y110,_xlfn.BITXOR(Y109,Y110))</f>
        <v>226</v>
      </c>
      <c r="Z111" s="139">
        <f t="shared" ref="Z111" ca="1" si="133">IF(_xlfn.BITXOR(Z109,Z110)=0,Z110,_xlfn.BITXOR(Z109,Z110))</f>
        <v>148</v>
      </c>
      <c r="AA111" s="139">
        <f t="shared" ref="AA111" ca="1" si="134">IF(_xlfn.BITXOR(AA109,AA110)=0,AA110,_xlfn.BITXOR(AA109,AA110))</f>
        <v>83</v>
      </c>
      <c r="AB111" s="139" t="str">
        <f t="shared" ca="1" si="121"/>
        <v>8,8,8,8</v>
      </c>
      <c r="AC111" s="339" t="str">
        <f t="shared" ca="1" si="92"/>
        <v>10000101,11100010,10010100,01010011</v>
      </c>
      <c r="AD111" s="339"/>
      <c r="AE111" s="339"/>
      <c r="AF111" s="139"/>
      <c r="AG111" s="139"/>
      <c r="AH111" s="139">
        <f ca="1">IF(_xlfn.BITXOR(AH109,AH110)=0,AH110,_xlfn.BITXOR(AH109,AH110))</f>
        <v>216</v>
      </c>
      <c r="AI111" s="139">
        <f t="shared" ref="AI111" ca="1" si="135">IF(_xlfn.BITXOR(AI109,AI110)=0,AI110,_xlfn.BITXOR(AI109,AI110))</f>
        <v>118</v>
      </c>
      <c r="AJ111" s="139">
        <f t="shared" ref="AJ111" ca="1" si="136">IF(_xlfn.BITXOR(AJ109,AJ110)=0,AJ110,_xlfn.BITXOR(AJ109,AJ110))</f>
        <v>2</v>
      </c>
      <c r="AK111" s="139">
        <f t="shared" ref="AK111" ca="1" si="137">IF(_xlfn.BITXOR(AK109,AK110)=0,AK110,_xlfn.BITXOR(AK109,AK110))</f>
        <v>168</v>
      </c>
      <c r="AL111" s="139" t="str">
        <f t="shared" ca="1" si="125"/>
        <v>8,8,8,8</v>
      </c>
      <c r="AM111" s="339" t="str">
        <f t="shared" ca="1" si="97"/>
        <v>11011000,01110110,00000010,10101000</v>
      </c>
      <c r="AN111" s="339"/>
      <c r="AO111" s="339"/>
      <c r="AP111" s="178"/>
      <c r="AQ111" s="109"/>
      <c r="AR111" s="109"/>
      <c r="AS111" s="109"/>
      <c r="AT111" s="109"/>
      <c r="AU111" s="109"/>
      <c r="AV111" s="109"/>
      <c r="AW111" s="109"/>
      <c r="AX111" s="109"/>
      <c r="AY111" s="109"/>
      <c r="AZ111" s="109"/>
      <c r="BA111" s="109"/>
      <c r="BB111" s="109"/>
      <c r="BC111" s="109"/>
      <c r="BD111" s="109"/>
      <c r="BE111" s="109"/>
      <c r="BF111" s="109"/>
      <c r="BG111" s="109"/>
      <c r="BH111" s="109"/>
      <c r="BI111" s="109"/>
      <c r="BJ111" s="109"/>
      <c r="BK111" s="109"/>
    </row>
    <row r="112" spans="2:65" x14ac:dyDescent="0.25">
      <c r="B112" s="371"/>
      <c r="C112" s="93" t="s">
        <v>72</v>
      </c>
      <c r="D112" s="145">
        <f ca="1">IF(LEN(_xlfn.BASE(D111,2,8))-9&lt;0,D111,IF(LEN(_xlfn.BASE(D111,2,8))-9=0,283,IF(LEN(_xlfn.BASE(D111,2,8))-9=1,566,IF(LEN(_xlfn.BASE(D111,2,8))-9=2,1132,IF(LEN(_xlfn.BASE(D111,2,8))-9=3,2264)))))</f>
        <v>147</v>
      </c>
      <c r="E112" s="145">
        <f t="shared" ref="E112" ca="1" si="138">IF(LEN(_xlfn.BASE(E111,2,8))-9&lt;0,E111,IF(LEN(_xlfn.BASE(E111,2,8))-9=0,283,IF(LEN(_xlfn.BASE(E111,2,8))-9=1,566,IF(LEN(_xlfn.BASE(E111,2,8))-9=2,1132,IF(LEN(_xlfn.BASE(E111,2,8))-9=3,2264)))))</f>
        <v>4</v>
      </c>
      <c r="F112" s="145">
        <f t="shared" ref="F112" ca="1" si="139">IF(LEN(_xlfn.BASE(F111,2,8))-9&lt;0,F111,IF(LEN(_xlfn.BASE(F111,2,8))-9=0,283,IF(LEN(_xlfn.BASE(F111,2,8))-9=1,566,IF(LEN(_xlfn.BASE(F111,2,8))-9=2,1132,IF(LEN(_xlfn.BASE(F111,2,8))-9=3,2264)))))</f>
        <v>85</v>
      </c>
      <c r="G112" s="145">
        <f t="shared" ref="G112" ca="1" si="140">IF(LEN(_xlfn.BASE(G111,2,8))-9&lt;0,G111,IF(LEN(_xlfn.BASE(G111,2,8))-9=0,283,IF(LEN(_xlfn.BASE(G111,2,8))-9=1,566,IF(LEN(_xlfn.BASE(G111,2,8))-9=2,1132,IF(LEN(_xlfn.BASE(G111,2,8))-9=3,2264)))))</f>
        <v>216</v>
      </c>
      <c r="H112" s="93" t="str">
        <f t="shared" ca="1" si="113"/>
        <v>8,8,8,8</v>
      </c>
      <c r="I112" s="366" t="str">
        <f t="shared" ca="1" si="82"/>
        <v>10010011,00000100,01010101,11011000</v>
      </c>
      <c r="J112" s="366"/>
      <c r="K112" s="366"/>
      <c r="L112" s="139"/>
      <c r="M112" s="93" t="s">
        <v>72</v>
      </c>
      <c r="N112" s="145">
        <f ca="1">IF(LEN(_xlfn.BASE(N111,2,8))-9&lt;0,N111,IF(LEN(_xlfn.BASE(N111,2,8))-9=0,283,IF(LEN(_xlfn.BASE(N111,2,8))-9=1,566,IF(LEN(_xlfn.BASE(N111,2,8))-9=2,1132,IF(LEN(_xlfn.BASE(N111,2,8))-9=3,2264)))))</f>
        <v>69</v>
      </c>
      <c r="O112" s="145">
        <f t="shared" ref="O112" ca="1" si="141">IF(LEN(_xlfn.BASE(O111,2,8))-9&lt;0,O111,IF(LEN(_xlfn.BASE(O111,2,8))-9=0,283,IF(LEN(_xlfn.BASE(O111,2,8))-9=1,566,IF(LEN(_xlfn.BASE(O111,2,8))-9=2,1132,IF(LEN(_xlfn.BASE(O111,2,8))-9=3,2264)))))</f>
        <v>66</v>
      </c>
      <c r="P112" s="145">
        <f t="shared" ref="P112" ca="1" si="142">IF(LEN(_xlfn.BASE(P111,2,8))-9&lt;0,P111,IF(LEN(_xlfn.BASE(P111,2,8))-9=0,283,IF(LEN(_xlfn.BASE(P111,2,8))-9=1,566,IF(LEN(_xlfn.BASE(P111,2,8))-9=2,1132,IF(LEN(_xlfn.BASE(P111,2,8))-9=3,2264)))))</f>
        <v>63</v>
      </c>
      <c r="Q112" s="145">
        <f t="shared" ref="Q112" ca="1" si="143">IF(LEN(_xlfn.BASE(Q111,2,8))-9&lt;0,Q111,IF(LEN(_xlfn.BASE(Q111,2,8))-9=0,283,IF(LEN(_xlfn.BASE(Q111,2,8))-9=1,566,IF(LEN(_xlfn.BASE(Q111,2,8))-9=2,1132,IF(LEN(_xlfn.BASE(Q111,2,8))-9=3,2264)))))</f>
        <v>168</v>
      </c>
      <c r="R112" s="93" t="str">
        <f t="shared" ca="1" si="117"/>
        <v>8,8,8,8</v>
      </c>
      <c r="S112" s="366" t="str">
        <f t="shared" ca="1" si="87"/>
        <v>01000101,01000010,00111111,10101000</v>
      </c>
      <c r="T112" s="366"/>
      <c r="U112" s="366"/>
      <c r="V112" s="139"/>
      <c r="W112" s="93" t="s">
        <v>72</v>
      </c>
      <c r="X112" s="145">
        <f ca="1">IF(LEN(_xlfn.BASE(X111,2,8))-9&lt;0,X111,IF(LEN(_xlfn.BASE(X111,2,8))-9=0,283,IF(LEN(_xlfn.BASE(X111,2,8))-9=1,566,IF(LEN(_xlfn.BASE(X111,2,8))-9=2,1132,IF(LEN(_xlfn.BASE(X111,2,8))-9=3,2264)))))</f>
        <v>133</v>
      </c>
      <c r="Y112" s="145">
        <f t="shared" ref="Y112" ca="1" si="144">IF(LEN(_xlfn.BASE(Y111,2,8))-9&lt;0,Y111,IF(LEN(_xlfn.BASE(Y111,2,8))-9=0,283,IF(LEN(_xlfn.BASE(Y111,2,8))-9=1,566,IF(LEN(_xlfn.BASE(Y111,2,8))-9=2,1132,IF(LEN(_xlfn.BASE(Y111,2,8))-9=3,2264)))))</f>
        <v>226</v>
      </c>
      <c r="Z112" s="145">
        <f t="shared" ref="Z112" ca="1" si="145">IF(LEN(_xlfn.BASE(Z111,2,8))-9&lt;0,Z111,IF(LEN(_xlfn.BASE(Z111,2,8))-9=0,283,IF(LEN(_xlfn.BASE(Z111,2,8))-9=1,566,IF(LEN(_xlfn.BASE(Z111,2,8))-9=2,1132,IF(LEN(_xlfn.BASE(Z111,2,8))-9=3,2264)))))</f>
        <v>148</v>
      </c>
      <c r="AA112" s="145">
        <f t="shared" ref="AA112" ca="1" si="146">IF(LEN(_xlfn.BASE(AA111,2,8))-9&lt;0,AA111,IF(LEN(_xlfn.BASE(AA111,2,8))-9=0,283,IF(LEN(_xlfn.BASE(AA111,2,8))-9=1,566,IF(LEN(_xlfn.BASE(AA111,2,8))-9=2,1132,IF(LEN(_xlfn.BASE(AA111,2,8))-9=3,2264)))))</f>
        <v>83</v>
      </c>
      <c r="AB112" s="93" t="str">
        <f t="shared" ca="1" si="121"/>
        <v>8,8,8,8</v>
      </c>
      <c r="AC112" s="366" t="str">
        <f t="shared" ca="1" si="92"/>
        <v>10000101,11100010,10010100,01010011</v>
      </c>
      <c r="AD112" s="366"/>
      <c r="AE112" s="366"/>
      <c r="AF112" s="139"/>
      <c r="AG112" s="93" t="s">
        <v>72</v>
      </c>
      <c r="AH112" s="145">
        <f ca="1">IF(LEN(_xlfn.BASE(AH111,2,8))-9&lt;0,AH111,IF(LEN(_xlfn.BASE(AH111,2,8))-9=0,283,IF(LEN(_xlfn.BASE(AH111,2,8))-9=1,566,IF(LEN(_xlfn.BASE(AH111,2,8))-9=2,1132,IF(LEN(_xlfn.BASE(AH111,2,8))-9=3,2264)))))</f>
        <v>216</v>
      </c>
      <c r="AI112" s="145">
        <f t="shared" ref="AI112" ca="1" si="147">IF(LEN(_xlfn.BASE(AI111,2,8))-9&lt;0,AI111,IF(LEN(_xlfn.BASE(AI111,2,8))-9=0,283,IF(LEN(_xlfn.BASE(AI111,2,8))-9=1,566,IF(LEN(_xlfn.BASE(AI111,2,8))-9=2,1132,IF(LEN(_xlfn.BASE(AI111,2,8))-9=3,2264)))))</f>
        <v>118</v>
      </c>
      <c r="AJ112" s="145">
        <f t="shared" ref="AJ112" ca="1" si="148">IF(LEN(_xlfn.BASE(AJ111,2,8))-9&lt;0,AJ111,IF(LEN(_xlfn.BASE(AJ111,2,8))-9=0,283,IF(LEN(_xlfn.BASE(AJ111,2,8))-9=1,566,IF(LEN(_xlfn.BASE(AJ111,2,8))-9=2,1132,IF(LEN(_xlfn.BASE(AJ111,2,8))-9=3,2264)))))</f>
        <v>2</v>
      </c>
      <c r="AK112" s="145">
        <f t="shared" ref="AK112" ca="1" si="149">IF(LEN(_xlfn.BASE(AK111,2,8))-9&lt;0,AK111,IF(LEN(_xlfn.BASE(AK111,2,8))-9=0,283,IF(LEN(_xlfn.BASE(AK111,2,8))-9=1,566,IF(LEN(_xlfn.BASE(AK111,2,8))-9=2,1132,IF(LEN(_xlfn.BASE(AK111,2,8))-9=3,2264)))))</f>
        <v>168</v>
      </c>
      <c r="AL112" s="93" t="str">
        <f t="shared" ca="1" si="125"/>
        <v>8,8,8,8</v>
      </c>
      <c r="AM112" s="366" t="str">
        <f t="shared" ca="1" si="97"/>
        <v>11011000,01110110,00000010,10101000</v>
      </c>
      <c r="AN112" s="366"/>
      <c r="AO112" s="366"/>
      <c r="AP112" s="179"/>
      <c r="AQ112" s="109"/>
      <c r="AR112" s="109"/>
      <c r="AS112" s="109"/>
      <c r="AT112" s="109"/>
      <c r="AU112" s="109"/>
      <c r="AV112" s="109"/>
      <c r="AW112" s="109"/>
      <c r="AX112" s="109"/>
      <c r="AY112" s="109"/>
      <c r="AZ112" s="109"/>
      <c r="BA112" s="109"/>
      <c r="BB112" s="109"/>
      <c r="BC112" s="109"/>
      <c r="BD112" s="109"/>
      <c r="BE112" s="109"/>
      <c r="BF112" s="109"/>
      <c r="BG112" s="109"/>
      <c r="BH112" s="109"/>
      <c r="BI112" s="109"/>
      <c r="BJ112" s="109"/>
      <c r="BK112" s="109"/>
    </row>
    <row r="113" spans="2:63" x14ac:dyDescent="0.25">
      <c r="B113" s="371"/>
      <c r="C113" s="3"/>
      <c r="D113" s="139">
        <f ca="1">IF(_xlfn.BITXOR(D111,D112)=0,D112,_xlfn.BITXOR(D111,D112))</f>
        <v>147</v>
      </c>
      <c r="E113" s="139">
        <f t="shared" ref="E113" ca="1" si="150">IF(_xlfn.BITXOR(E111,E112)=0,E112,_xlfn.BITXOR(E111,E112))</f>
        <v>4</v>
      </c>
      <c r="F113" s="139">
        <f t="shared" ref="F113" ca="1" si="151">IF(_xlfn.BITXOR(F111,F112)=0,F112,_xlfn.BITXOR(F111,F112))</f>
        <v>85</v>
      </c>
      <c r="G113" s="139">
        <f t="shared" ref="G113" ca="1" si="152">IF(_xlfn.BITXOR(G111,G112)=0,G112,_xlfn.BITXOR(G111,G112))</f>
        <v>216</v>
      </c>
      <c r="H113" s="139" t="str">
        <f t="shared" ca="1" si="113"/>
        <v>8,8,8,8</v>
      </c>
      <c r="I113" s="339" t="str">
        <f t="shared" ca="1" si="82"/>
        <v>10010011,00000100,01010101,11011000</v>
      </c>
      <c r="J113" s="339"/>
      <c r="K113" s="339"/>
      <c r="L113" s="139"/>
      <c r="M113" s="3"/>
      <c r="N113" s="139">
        <f ca="1">IF(_xlfn.BITXOR(N111,N112)=0,N112,_xlfn.BITXOR(N111,N112))</f>
        <v>69</v>
      </c>
      <c r="O113" s="139">
        <f t="shared" ref="O113" ca="1" si="153">IF(_xlfn.BITXOR(O111,O112)=0,O112,_xlfn.BITXOR(O111,O112))</f>
        <v>66</v>
      </c>
      <c r="P113" s="139">
        <f t="shared" ref="P113" ca="1" si="154">IF(_xlfn.BITXOR(P111,P112)=0,P112,_xlfn.BITXOR(P111,P112))</f>
        <v>63</v>
      </c>
      <c r="Q113" s="139">
        <f t="shared" ref="Q113" ca="1" si="155">IF(_xlfn.BITXOR(Q111,Q112)=0,Q112,_xlfn.BITXOR(Q111,Q112))</f>
        <v>168</v>
      </c>
      <c r="R113" s="139" t="str">
        <f t="shared" ca="1" si="117"/>
        <v>8,8,8,8</v>
      </c>
      <c r="S113" s="339" t="str">
        <f t="shared" ca="1" si="87"/>
        <v>01000101,01000010,00111111,10101000</v>
      </c>
      <c r="T113" s="339"/>
      <c r="U113" s="339"/>
      <c r="V113" s="139"/>
      <c r="W113" s="3"/>
      <c r="X113" s="139">
        <f ca="1">IF(_xlfn.BITXOR(X111,X112)=0,X112,_xlfn.BITXOR(X111,X112))</f>
        <v>133</v>
      </c>
      <c r="Y113" s="139">
        <f t="shared" ref="Y113" ca="1" si="156">IF(_xlfn.BITXOR(Y111,Y112)=0,Y112,_xlfn.BITXOR(Y111,Y112))</f>
        <v>226</v>
      </c>
      <c r="Z113" s="139">
        <f t="shared" ref="Z113" ca="1" si="157">IF(_xlfn.BITXOR(Z111,Z112)=0,Z112,_xlfn.BITXOR(Z111,Z112))</f>
        <v>148</v>
      </c>
      <c r="AA113" s="139">
        <f t="shared" ref="AA113" ca="1" si="158">IF(_xlfn.BITXOR(AA111,AA112)=0,AA112,_xlfn.BITXOR(AA111,AA112))</f>
        <v>83</v>
      </c>
      <c r="AB113" s="139" t="str">
        <f t="shared" ca="1" si="121"/>
        <v>8,8,8,8</v>
      </c>
      <c r="AC113" s="339" t="str">
        <f t="shared" ca="1" si="92"/>
        <v>10000101,11100010,10010100,01010011</v>
      </c>
      <c r="AD113" s="339"/>
      <c r="AE113" s="339"/>
      <c r="AF113" s="139"/>
      <c r="AG113" s="3"/>
      <c r="AH113" s="139">
        <f ca="1">IF(_xlfn.BITXOR(AH111,AH112)=0,AH112,_xlfn.BITXOR(AH111,AH112))</f>
        <v>216</v>
      </c>
      <c r="AI113" s="139">
        <f t="shared" ref="AI113" ca="1" si="159">IF(_xlfn.BITXOR(AI111,AI112)=0,AI112,_xlfn.BITXOR(AI111,AI112))</f>
        <v>118</v>
      </c>
      <c r="AJ113" s="139">
        <f t="shared" ref="AJ113" ca="1" si="160">IF(_xlfn.BITXOR(AJ111,AJ112)=0,AJ112,_xlfn.BITXOR(AJ111,AJ112))</f>
        <v>2</v>
      </c>
      <c r="AK113" s="139">
        <f t="shared" ref="AK113" ca="1" si="161">IF(_xlfn.BITXOR(AK111,AK112)=0,AK112,_xlfn.BITXOR(AK111,AK112))</f>
        <v>168</v>
      </c>
      <c r="AL113" s="139" t="str">
        <f t="shared" ca="1" si="125"/>
        <v>8,8,8,8</v>
      </c>
      <c r="AM113" s="339" t="str">
        <f t="shared" ca="1" si="97"/>
        <v>11011000,01110110,00000010,10101000</v>
      </c>
      <c r="AN113" s="339"/>
      <c r="AO113" s="339"/>
      <c r="AP113" s="179"/>
      <c r="AQ113" s="109"/>
      <c r="AR113" s="109"/>
      <c r="AS113" s="361"/>
      <c r="AT113" s="361"/>
      <c r="AU113" s="109"/>
      <c r="AV113" s="109"/>
      <c r="AW113" s="109"/>
      <c r="AX113" s="361"/>
      <c r="AY113" s="361"/>
      <c r="AZ113" s="109"/>
      <c r="BA113" s="109"/>
      <c r="BB113" s="109"/>
      <c r="BC113" s="361"/>
      <c r="BD113" s="361"/>
      <c r="BE113" s="109"/>
      <c r="BF113" s="109"/>
      <c r="BG113" s="109"/>
      <c r="BH113" s="361"/>
      <c r="BI113" s="361"/>
      <c r="BJ113" s="109"/>
      <c r="BK113" s="109"/>
    </row>
    <row r="114" spans="2:63" x14ac:dyDescent="0.25">
      <c r="B114" s="180"/>
      <c r="C114" s="3"/>
      <c r="D114" s="370">
        <f ca="1">_xlfn.BITXOR(_xlfn.BITXOR(D113,E113),_xlfn.BITXOR(F113,G113))</f>
        <v>26</v>
      </c>
      <c r="E114" s="370"/>
      <c r="F114" s="370"/>
      <c r="G114" s="370"/>
      <c r="H114" s="321">
        <f ca="1">LEN(_xlfn.BASE(D114,2,8))</f>
        <v>8</v>
      </c>
      <c r="I114" s="370" t="str">
        <f ca="1">_xlfn.BASE(D114,2,8)</f>
        <v>00011010</v>
      </c>
      <c r="J114" s="370"/>
      <c r="K114" s="370"/>
      <c r="L114" s="320"/>
      <c r="M114" s="3"/>
      <c r="N114" s="370">
        <f ca="1">_xlfn.BITXOR(_xlfn.BITXOR(N113,O113),_xlfn.BITXOR(P113,Q113))</f>
        <v>144</v>
      </c>
      <c r="O114" s="370"/>
      <c r="P114" s="370"/>
      <c r="Q114" s="370"/>
      <c r="R114" s="321">
        <f ca="1">LEN(_xlfn.BASE(N114,2,8))</f>
        <v>8</v>
      </c>
      <c r="S114" s="370" t="str">
        <f ca="1">_xlfn.BASE(N114,2,8)</f>
        <v>10010000</v>
      </c>
      <c r="T114" s="370"/>
      <c r="U114" s="370"/>
      <c r="V114" s="320"/>
      <c r="W114" s="3"/>
      <c r="X114" s="370">
        <f ca="1">_xlfn.BITXOR(_xlfn.BITXOR(X113,Y113),_xlfn.BITXOR(Z113,AA113))</f>
        <v>160</v>
      </c>
      <c r="Y114" s="370"/>
      <c r="Z114" s="370"/>
      <c r="AA114" s="370"/>
      <c r="AB114" s="321">
        <f ca="1">LEN(_xlfn.BASE(X114,2,8))</f>
        <v>8</v>
      </c>
      <c r="AC114" s="370" t="str">
        <f ca="1">_xlfn.BASE(X114,2,8)</f>
        <v>10100000</v>
      </c>
      <c r="AD114" s="370"/>
      <c r="AE114" s="370"/>
      <c r="AF114" s="28"/>
      <c r="AG114" s="3"/>
      <c r="AH114" s="370">
        <f ca="1">_xlfn.BITXOR(_xlfn.BITXOR(AH113,AI113),_xlfn.BITXOR(AJ113,AK113))</f>
        <v>4</v>
      </c>
      <c r="AI114" s="370"/>
      <c r="AJ114" s="370"/>
      <c r="AK114" s="370"/>
      <c r="AL114" s="321">
        <f ca="1">LEN(_xlfn.BASE(AH114,2,8))</f>
        <v>8</v>
      </c>
      <c r="AM114" s="370" t="str">
        <f ca="1">_xlfn.BASE(AH114,2,8)</f>
        <v>00000100</v>
      </c>
      <c r="AN114" s="370"/>
      <c r="AO114" s="370"/>
      <c r="AP114" s="17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row>
    <row r="115" spans="2:63" x14ac:dyDescent="0.25">
      <c r="B115" s="181"/>
      <c r="C115" s="3"/>
      <c r="D115" s="3"/>
      <c r="E115" s="28"/>
      <c r="F115" s="28"/>
      <c r="G115" s="3"/>
      <c r="H115" s="3"/>
      <c r="I115" s="3"/>
      <c r="J115" s="3"/>
      <c r="K115" s="3"/>
      <c r="L115" s="3"/>
      <c r="M115" s="3"/>
      <c r="N115" s="3"/>
      <c r="O115" s="28"/>
      <c r="P115" s="28"/>
      <c r="Q115" s="3"/>
      <c r="R115" s="3"/>
      <c r="S115" s="3"/>
      <c r="T115" s="3"/>
      <c r="U115" s="3"/>
      <c r="V115" s="3"/>
      <c r="W115" s="3"/>
      <c r="X115" s="3"/>
      <c r="Y115" s="28"/>
      <c r="Z115" s="28"/>
      <c r="AA115" s="3"/>
      <c r="AB115" s="3"/>
      <c r="AC115" s="3"/>
      <c r="AD115" s="3"/>
      <c r="AE115" s="3"/>
      <c r="AF115" s="3"/>
      <c r="AG115" s="3"/>
      <c r="AH115" s="3"/>
      <c r="AI115" s="3"/>
      <c r="AJ115" s="3"/>
      <c r="AK115" s="3"/>
      <c r="AL115" s="3"/>
      <c r="AM115" s="3"/>
      <c r="AN115" s="3"/>
      <c r="AO115" s="3"/>
      <c r="AP115" s="178"/>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row>
    <row r="116" spans="2:63" x14ac:dyDescent="0.25">
      <c r="B116" s="181"/>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139"/>
      <c r="AF116" s="139"/>
      <c r="AG116" s="3"/>
      <c r="AH116" s="3"/>
      <c r="AI116" s="3"/>
      <c r="AJ116" s="3"/>
      <c r="AK116" s="3"/>
      <c r="AL116" s="3"/>
      <c r="AM116" s="3"/>
      <c r="AN116" s="3"/>
      <c r="AO116" s="3"/>
      <c r="AP116" s="178"/>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09"/>
    </row>
    <row r="117" spans="2:63" x14ac:dyDescent="0.25">
      <c r="B117" s="181"/>
      <c r="C117" s="3"/>
      <c r="D117" s="339" t="s">
        <v>58</v>
      </c>
      <c r="E117" s="339"/>
      <c r="F117" s="339"/>
      <c r="G117" s="339"/>
      <c r="H117" s="139" t="s">
        <v>298</v>
      </c>
      <c r="I117" s="339" t="s">
        <v>256</v>
      </c>
      <c r="J117" s="339"/>
      <c r="K117" s="339"/>
      <c r="L117" s="3"/>
      <c r="M117" s="3"/>
      <c r="N117" s="339" t="s">
        <v>62</v>
      </c>
      <c r="O117" s="339"/>
      <c r="P117" s="339"/>
      <c r="Q117" s="339"/>
      <c r="R117" s="139" t="s">
        <v>298</v>
      </c>
      <c r="S117" s="339" t="s">
        <v>256</v>
      </c>
      <c r="T117" s="339"/>
      <c r="U117" s="339"/>
      <c r="V117" s="3"/>
      <c r="W117" s="3"/>
      <c r="X117" s="339" t="s">
        <v>66</v>
      </c>
      <c r="Y117" s="339"/>
      <c r="Z117" s="339"/>
      <c r="AA117" s="339"/>
      <c r="AB117" s="139" t="s">
        <v>298</v>
      </c>
      <c r="AC117" s="339" t="s">
        <v>256</v>
      </c>
      <c r="AD117" s="339"/>
      <c r="AE117" s="339"/>
      <c r="AF117" s="139"/>
      <c r="AG117" s="139"/>
      <c r="AH117" s="339" t="s">
        <v>70</v>
      </c>
      <c r="AI117" s="339"/>
      <c r="AJ117" s="339"/>
      <c r="AK117" s="339"/>
      <c r="AL117" s="139" t="s">
        <v>298</v>
      </c>
      <c r="AM117" s="339" t="s">
        <v>256</v>
      </c>
      <c r="AN117" s="339"/>
      <c r="AO117" s="339"/>
      <c r="AP117" s="178"/>
      <c r="AQ117" s="109"/>
      <c r="AR117" s="109"/>
      <c r="AS117" s="109"/>
      <c r="AT117" s="109"/>
      <c r="AU117" s="109"/>
      <c r="AV117" s="109"/>
      <c r="AW117" s="109"/>
      <c r="AX117" s="109"/>
      <c r="AY117" s="109"/>
      <c r="AZ117" s="109"/>
      <c r="BA117" s="109"/>
      <c r="BB117" s="109"/>
      <c r="BC117" s="109"/>
      <c r="BD117" s="109"/>
      <c r="BE117" s="109"/>
      <c r="BF117" s="109"/>
      <c r="BG117" s="109"/>
      <c r="BH117" s="109"/>
      <c r="BI117" s="109"/>
      <c r="BJ117" s="109"/>
      <c r="BK117" s="109"/>
    </row>
    <row r="118" spans="2:63" x14ac:dyDescent="0.25">
      <c r="B118" s="371" t="s">
        <v>259</v>
      </c>
      <c r="C118" s="3"/>
      <c r="D118" s="139">
        <f ca="1">$E$86</f>
        <v>147</v>
      </c>
      <c r="E118" s="139">
        <f ca="1">$E$87</f>
        <v>2</v>
      </c>
      <c r="F118" s="139">
        <f ca="1">$E$88</f>
        <v>51</v>
      </c>
      <c r="G118" s="139">
        <f ca="1">$E$89</f>
        <v>216</v>
      </c>
      <c r="H118" s="139" t="str">
        <f ca="1">LEN(_xlfn.BASE(D118,2,8))&amp;","&amp;LEN(_xlfn.BASE(E118,2,8))&amp;","&amp;LEN(_xlfn.BASE(F118,2,8))&amp;","&amp;LEN(_xlfn.BASE(G118,2,8))</f>
        <v>8,8,8,8</v>
      </c>
      <c r="I118" s="339" t="str">
        <f ca="1">_xlfn.BASE(D118,2,8)&amp;","&amp;_xlfn.BASE(E118,2,8)&amp;","&amp;_xlfn.BASE(F118,2,8)&amp;","&amp;_xlfn.BASE(G118,2,8)</f>
        <v>10010011,00000010,00110011,11011000</v>
      </c>
      <c r="J118" s="339"/>
      <c r="K118" s="339"/>
      <c r="L118" s="3"/>
      <c r="M118" s="3"/>
      <c r="N118" s="322">
        <f ca="1">$I$86</f>
        <v>69</v>
      </c>
      <c r="O118" s="322">
        <f ca="1">$I$87</f>
        <v>33</v>
      </c>
      <c r="P118" s="322">
        <f ca="1">$I$88</f>
        <v>21</v>
      </c>
      <c r="Q118" s="322">
        <f ca="1">$I$89</f>
        <v>168</v>
      </c>
      <c r="R118" s="139" t="str">
        <f ca="1">LEN(_xlfn.BASE(N118,2,8))&amp;","&amp;LEN(_xlfn.BASE(O118,2,8))&amp;","&amp;LEN(_xlfn.BASE(P118,2,8))&amp;","&amp;LEN(_xlfn.BASE(Q118,2,8))</f>
        <v>8,8,8,8</v>
      </c>
      <c r="S118" s="339" t="str">
        <f ca="1">_xlfn.BASE(N118,2,8)&amp;","&amp;_xlfn.BASE(O118,2,8)&amp;","&amp;_xlfn.BASE(P118,2,8)&amp;","&amp;_xlfn.BASE(Q118,2,8)</f>
        <v>01000101,00100001,00010101,10101000</v>
      </c>
      <c r="T118" s="339"/>
      <c r="U118" s="339"/>
      <c r="V118" s="3"/>
      <c r="W118" s="3"/>
      <c r="X118" s="322">
        <f ca="1">$M$86</f>
        <v>133</v>
      </c>
      <c r="Y118" s="322">
        <f ca="1">$M$87</f>
        <v>113</v>
      </c>
      <c r="Z118" s="322">
        <f ca="1">$M$88</f>
        <v>133</v>
      </c>
      <c r="AA118" s="322">
        <f ca="1">$M$89</f>
        <v>83</v>
      </c>
      <c r="AB118" s="139" t="str">
        <f ca="1">LEN(_xlfn.BASE(X118,2,8))&amp;","&amp;LEN(_xlfn.BASE(Y118,2,8))&amp;","&amp;LEN(_xlfn.BASE(Z118,2,8))&amp;","&amp;LEN(_xlfn.BASE(AA118,2,8))</f>
        <v>8,8,8,8</v>
      </c>
      <c r="AC118" s="339" t="str">
        <f ca="1">_xlfn.BASE(X118,2,8)&amp;","&amp;_xlfn.BASE(Y118,2,8)&amp;","&amp;_xlfn.BASE(Z118,2,8)&amp;","&amp;_xlfn.BASE(AA118,2,8)</f>
        <v>10000101,01110001,10000101,01010011</v>
      </c>
      <c r="AD118" s="339"/>
      <c r="AE118" s="339"/>
      <c r="AF118" s="139"/>
      <c r="AG118" s="3"/>
      <c r="AH118" s="322">
        <f ca="1">$Q$86</f>
        <v>216</v>
      </c>
      <c r="AI118" s="322">
        <f ca="1">$Q$87</f>
        <v>59</v>
      </c>
      <c r="AJ118" s="322">
        <f ca="1">$Q$88</f>
        <v>247</v>
      </c>
      <c r="AK118" s="322">
        <f ca="1">$Q$89</f>
        <v>168</v>
      </c>
      <c r="AL118" s="139" t="str">
        <f ca="1">LEN(_xlfn.BASE(AH118,2,8))&amp;","&amp;LEN(_xlfn.BASE(AI118,2,8))&amp;","&amp;LEN(_xlfn.BASE(AJ118,2,8))&amp;","&amp;LEN(_xlfn.BASE(AK118,2,8))</f>
        <v>8,8,8,8</v>
      </c>
      <c r="AM118" s="339" t="str">
        <f ca="1">_xlfn.BASE(AH118,2,8)&amp;","&amp;_xlfn.BASE(AI118,2,8)&amp;","&amp;_xlfn.BASE(AJ118,2,8)&amp;","&amp;_xlfn.BASE(AK118,2,8)</f>
        <v>11011000,00111011,11110111,10101000</v>
      </c>
      <c r="AN118" s="339"/>
      <c r="AO118" s="339"/>
      <c r="AP118" s="178"/>
      <c r="AQ118" s="109"/>
      <c r="AR118" s="109"/>
      <c r="AS118" s="109"/>
      <c r="AT118" s="109"/>
      <c r="AU118" s="109"/>
      <c r="AV118" s="109"/>
      <c r="AW118" s="109"/>
      <c r="AX118" s="109"/>
      <c r="AY118" s="109"/>
      <c r="AZ118" s="109"/>
      <c r="BA118" s="109"/>
      <c r="BB118" s="109"/>
      <c r="BC118" s="109"/>
      <c r="BD118" s="109"/>
      <c r="BE118" s="109"/>
      <c r="BF118" s="109"/>
      <c r="BG118" s="109"/>
      <c r="BH118" s="109"/>
      <c r="BI118" s="109"/>
      <c r="BJ118" s="109"/>
      <c r="BK118" s="109"/>
    </row>
    <row r="119" spans="2:63" x14ac:dyDescent="0.25">
      <c r="B119" s="371"/>
      <c r="C119" s="139" t="s">
        <v>312</v>
      </c>
      <c r="D119" s="145">
        <v>1</v>
      </c>
      <c r="E119" s="145">
        <v>1</v>
      </c>
      <c r="F119" s="145">
        <v>2</v>
      </c>
      <c r="G119" s="145">
        <v>3</v>
      </c>
      <c r="H119" s="323" t="str">
        <f>LEN(_xlfn.BASE(D119,2,4))&amp;","&amp;LEN(_xlfn.BASE(E119,2,4))&amp;","&amp;LEN(_xlfn.BASE(F119,2,4))&amp;","&amp;LEN(_xlfn.BASE(G119,2,4))</f>
        <v>4,4,4,4</v>
      </c>
      <c r="I119" s="366" t="str">
        <f>_xlfn.BASE(D119,2,4)&amp;","&amp;_xlfn.BASE(E119,2,4)&amp;","&amp;_xlfn.BASE(F119,2,4)&amp;","&amp;_xlfn.BASE(G119,2,4)</f>
        <v>0001,0001,0010,0011</v>
      </c>
      <c r="J119" s="366"/>
      <c r="K119" s="366"/>
      <c r="L119" s="3"/>
      <c r="M119" s="139" t="s">
        <v>312</v>
      </c>
      <c r="N119" s="145">
        <v>1</v>
      </c>
      <c r="O119" s="145">
        <v>1</v>
      </c>
      <c r="P119" s="145">
        <v>2</v>
      </c>
      <c r="Q119" s="145">
        <v>3</v>
      </c>
      <c r="R119" s="323" t="str">
        <f>LEN(_xlfn.BASE(N119,2,4))&amp;","&amp;LEN(_xlfn.BASE(O119,2,4))&amp;","&amp;LEN(_xlfn.BASE(P119,2,4))&amp;","&amp;LEN(_xlfn.BASE(Q119,2,4))</f>
        <v>4,4,4,4</v>
      </c>
      <c r="S119" s="366" t="str">
        <f>_xlfn.BASE(N119,2,4)&amp;","&amp;_xlfn.BASE(O119,2,4)&amp;","&amp;_xlfn.BASE(P119,2,4)&amp;","&amp;_xlfn.BASE(Q119,2,4)</f>
        <v>0001,0001,0010,0011</v>
      </c>
      <c r="T119" s="366"/>
      <c r="U119" s="366"/>
      <c r="V119" s="3"/>
      <c r="W119" s="139" t="s">
        <v>312</v>
      </c>
      <c r="X119" s="145">
        <v>1</v>
      </c>
      <c r="Y119" s="145">
        <v>1</v>
      </c>
      <c r="Z119" s="145">
        <v>2</v>
      </c>
      <c r="AA119" s="145">
        <v>3</v>
      </c>
      <c r="AB119" s="145"/>
      <c r="AC119" s="366"/>
      <c r="AD119" s="366"/>
      <c r="AE119" s="366"/>
      <c r="AF119" s="139"/>
      <c r="AG119" s="139" t="s">
        <v>312</v>
      </c>
      <c r="AH119" s="145">
        <v>1</v>
      </c>
      <c r="AI119" s="145">
        <v>1</v>
      </c>
      <c r="AJ119" s="145">
        <v>2</v>
      </c>
      <c r="AK119" s="145">
        <v>3</v>
      </c>
      <c r="AL119" s="323" t="str">
        <f>LEN(_xlfn.BASE(AH119,2,4))&amp;","&amp;LEN(_xlfn.BASE(AI119,2,4))&amp;","&amp;LEN(_xlfn.BASE(AJ119,2,4))&amp;","&amp;LEN(_xlfn.BASE(AK119,2,4))</f>
        <v>4,4,4,4</v>
      </c>
      <c r="AM119" s="366" t="str">
        <f>_xlfn.BASE(AH119,2,4)&amp;","&amp;_xlfn.BASE(AI119,2,4)&amp;","&amp;_xlfn.BASE(AJ119,2,4)&amp;","&amp;_xlfn.BASE(AK119,2,4)</f>
        <v>0001,0001,0010,0011</v>
      </c>
      <c r="AN119" s="366"/>
      <c r="AO119" s="366"/>
      <c r="AP119" s="178"/>
      <c r="AQ119" s="109"/>
      <c r="AR119" s="109"/>
      <c r="AS119" s="109"/>
      <c r="AT119" s="109"/>
      <c r="AU119" s="109"/>
      <c r="AV119" s="109"/>
      <c r="AW119" s="109"/>
      <c r="AX119" s="109"/>
      <c r="AY119" s="109"/>
      <c r="AZ119" s="109"/>
      <c r="BA119" s="109"/>
      <c r="BB119" s="109"/>
      <c r="BC119" s="109"/>
      <c r="BD119" s="109"/>
      <c r="BE119" s="109"/>
      <c r="BF119" s="109"/>
      <c r="BG119" s="109"/>
      <c r="BH119" s="109"/>
      <c r="BI119" s="109"/>
      <c r="BJ119" s="109"/>
      <c r="BK119" s="109"/>
    </row>
    <row r="120" spans="2:63" x14ac:dyDescent="0.25">
      <c r="B120" s="371" t="s">
        <v>297</v>
      </c>
      <c r="C120" s="3"/>
      <c r="D120" s="139">
        <f ca="1">D118*D119</f>
        <v>147</v>
      </c>
      <c r="E120" s="139">
        <f ca="1">E119*E118</f>
        <v>2</v>
      </c>
      <c r="F120" s="139">
        <f ca="1">F119*F118</f>
        <v>102</v>
      </c>
      <c r="G120" s="139">
        <f ca="1">_xlfn.BITXOR(2*G118,G118)</f>
        <v>360</v>
      </c>
      <c r="H120" s="139" t="str">
        <f ca="1">LEN(_xlfn.BASE(D120,2,8))&amp;","&amp;LEN(_xlfn.BASE(E120,2,8))&amp;","&amp;LEN(_xlfn.BASE(F120,2,8))&amp;","&amp;LEN(_xlfn.BASE(G120,2,8))</f>
        <v>8,8,8,9</v>
      </c>
      <c r="I120" s="339" t="str">
        <f ca="1">_xlfn.BASE(D120,2,8)&amp;","&amp;_xlfn.BASE(E120,2,8)&amp;","&amp;_xlfn.BASE(F120,2,8)&amp;","&amp;_xlfn.BASE(G120,2,8)</f>
        <v>10010011,00000010,01100110,101101000</v>
      </c>
      <c r="J120" s="339"/>
      <c r="K120" s="339"/>
      <c r="L120" s="3"/>
      <c r="M120" s="3"/>
      <c r="N120" s="139">
        <f ca="1">N118*N119</f>
        <v>69</v>
      </c>
      <c r="O120" s="139">
        <f ca="1">O119*O118</f>
        <v>33</v>
      </c>
      <c r="P120" s="139">
        <f ca="1">P119*P118</f>
        <v>42</v>
      </c>
      <c r="Q120" s="139">
        <f ca="1">_xlfn.BITXOR(2*Q118,Q118)</f>
        <v>504</v>
      </c>
      <c r="R120" s="139" t="str">
        <f ca="1">LEN(_xlfn.BASE(N120,2,8))&amp;","&amp;LEN(_xlfn.BASE(O120,2,8))&amp;","&amp;LEN(_xlfn.BASE(P120,2,8))&amp;","&amp;LEN(_xlfn.BASE(Q120,2,8))</f>
        <v>8,8,8,9</v>
      </c>
      <c r="S120" s="339" t="str">
        <f ca="1">_xlfn.BASE(N120,2,8)&amp;","&amp;_xlfn.BASE(O120,2,8)&amp;","&amp;_xlfn.BASE(P120,2,8)&amp;","&amp;_xlfn.BASE(Q120,2,8)</f>
        <v>01000101,00100001,00101010,111111000</v>
      </c>
      <c r="T120" s="339"/>
      <c r="U120" s="339"/>
      <c r="V120" s="3"/>
      <c r="W120" s="3"/>
      <c r="X120" s="139">
        <f ca="1">X118*X119</f>
        <v>133</v>
      </c>
      <c r="Y120" s="139">
        <f ca="1">Y119*Y118</f>
        <v>113</v>
      </c>
      <c r="Z120" s="139">
        <f ca="1">Z119*Z118</f>
        <v>266</v>
      </c>
      <c r="AA120" s="139">
        <f ca="1">_xlfn.BITXOR(2*AA118,AA118)</f>
        <v>245</v>
      </c>
      <c r="AB120" s="139" t="str">
        <f ca="1">LEN(_xlfn.BASE(X120,2,8))&amp;","&amp;LEN(_xlfn.BASE(Y120,2,8))&amp;","&amp;LEN(_xlfn.BASE(Z120,2,8))&amp;","&amp;LEN(_xlfn.BASE(AA120,2,8))</f>
        <v>8,8,9,8</v>
      </c>
      <c r="AC120" s="339" t="str">
        <f ca="1">_xlfn.BASE(X120,2,8)&amp;","&amp;_xlfn.BASE(Y120,2,8)&amp;","&amp;_xlfn.BASE(Z120,2,8)&amp;","&amp;_xlfn.BASE(AA120,2,8)</f>
        <v>10000101,01110001,100001010,11110101</v>
      </c>
      <c r="AD120" s="339"/>
      <c r="AE120" s="339"/>
      <c r="AF120" s="3"/>
      <c r="AG120" s="3"/>
      <c r="AH120" s="139">
        <f ca="1">AH118*AH119</f>
        <v>216</v>
      </c>
      <c r="AI120" s="139">
        <f ca="1">AI119*AI118</f>
        <v>59</v>
      </c>
      <c r="AJ120" s="139">
        <f ca="1">AJ119*AJ118</f>
        <v>494</v>
      </c>
      <c r="AK120" s="139">
        <f ca="1">_xlfn.BITXOR(2*AK118,AK118)</f>
        <v>504</v>
      </c>
      <c r="AL120" s="139" t="str">
        <f ca="1">LEN(_xlfn.BASE(AH120,2,8))&amp;","&amp;LEN(_xlfn.BASE(AI120,2,8))&amp;","&amp;LEN(_xlfn.BASE(AJ120,2,8))&amp;","&amp;LEN(_xlfn.BASE(AK120,2,8))</f>
        <v>8,8,9,9</v>
      </c>
      <c r="AM120" s="339" t="str">
        <f ca="1">_xlfn.BASE(AH120,2,8)&amp;","&amp;_xlfn.BASE(AI120,2,8)&amp;","&amp;_xlfn.BASE(AJ120,2,8)&amp;","&amp;_xlfn.BASE(AK120,2,8)</f>
        <v>11011000,00111011,111101110,111111000</v>
      </c>
      <c r="AN120" s="339"/>
      <c r="AO120" s="339"/>
      <c r="AP120" s="178"/>
      <c r="AQ120" s="109"/>
      <c r="AR120" s="109"/>
      <c r="AS120" s="109"/>
      <c r="AT120" s="109"/>
      <c r="AU120" s="109"/>
      <c r="AV120" s="109"/>
      <c r="AW120" s="109"/>
      <c r="AX120" s="109"/>
      <c r="AY120" s="109"/>
      <c r="AZ120" s="109"/>
      <c r="BA120" s="109"/>
      <c r="BB120" s="109"/>
      <c r="BC120" s="109"/>
      <c r="BD120" s="109"/>
      <c r="BE120" s="109"/>
      <c r="BF120" s="109"/>
      <c r="BG120" s="109"/>
      <c r="BH120" s="109"/>
      <c r="BI120" s="109"/>
      <c r="BJ120" s="109"/>
      <c r="BK120" s="109"/>
    </row>
    <row r="121" spans="2:63" x14ac:dyDescent="0.25">
      <c r="B121" s="371"/>
      <c r="C121" s="145" t="s">
        <v>72</v>
      </c>
      <c r="D121" s="145">
        <f ca="1">IF(LEN(_xlfn.BASE(D120,2,8))-9&lt;0,D120,IF(LEN(_xlfn.BASE(D120,2,8))-9=0,283,IF(LEN(_xlfn.BASE(D120,2,8))-9=1,566,IF(LEN(_xlfn.BASE(D120,2,8))-9=2,1132,IF(LEN(_xlfn.BASE(D120,2,8))-9=3,2264)))))</f>
        <v>147</v>
      </c>
      <c r="E121" s="145">
        <f t="shared" ref="E121" ca="1" si="162">IF(LEN(_xlfn.BASE(E120,2,8))-9&lt;0,E120,IF(LEN(_xlfn.BASE(E120,2,8))-9=0,283,IF(LEN(_xlfn.BASE(E120,2,8))-9=1,566,IF(LEN(_xlfn.BASE(E120,2,8))-9=2,1132,IF(LEN(_xlfn.BASE(E120,2,8))-9=3,2264)))))</f>
        <v>2</v>
      </c>
      <c r="F121" s="145">
        <f t="shared" ref="F121" ca="1" si="163">IF(LEN(_xlfn.BASE(F120,2,8))-9&lt;0,F120,IF(LEN(_xlfn.BASE(F120,2,8))-9=0,283,IF(LEN(_xlfn.BASE(F120,2,8))-9=1,566,IF(LEN(_xlfn.BASE(F120,2,8))-9=2,1132,IF(LEN(_xlfn.BASE(F120,2,8))-9=3,2264)))))</f>
        <v>102</v>
      </c>
      <c r="G121" s="145">
        <f t="shared" ref="G121" ca="1" si="164">IF(LEN(_xlfn.BASE(G120,2,8))-9&lt;0,G120,IF(LEN(_xlfn.BASE(G120,2,8))-9=0,283,IF(LEN(_xlfn.BASE(G120,2,8))-9=1,566,IF(LEN(_xlfn.BASE(G120,2,8))-9=2,1132,IF(LEN(_xlfn.BASE(G120,2,8))-9=3,2264)))))</f>
        <v>283</v>
      </c>
      <c r="H121" s="145" t="str">
        <f t="shared" ref="H121" ca="1" si="165">LEN(_xlfn.BASE(D121,2,8))&amp;","&amp;LEN(_xlfn.BASE(E121,2,8))&amp;","&amp;LEN(_xlfn.BASE(F121,2,8))&amp;","&amp;LEN(_xlfn.BASE(G121,2,8))</f>
        <v>8,8,8,9</v>
      </c>
      <c r="I121" s="366" t="str">
        <f t="shared" ref="I121:I126" ca="1" si="166">_xlfn.BASE(D121,2,8)&amp;","&amp;_xlfn.BASE(E121,2,8)&amp;","&amp;_xlfn.BASE(F121,2,8)&amp;","&amp;_xlfn.BASE(G121,2,8)</f>
        <v>10010011,00000010,01100110,100011011</v>
      </c>
      <c r="J121" s="366"/>
      <c r="K121" s="366"/>
      <c r="L121" s="3"/>
      <c r="M121" s="145" t="s">
        <v>72</v>
      </c>
      <c r="N121" s="145">
        <f ca="1">IF(LEN(_xlfn.BASE(N120,2,8))-9&lt;0,N120,IF(LEN(_xlfn.BASE(N120,2,8))-9=0,283,IF(LEN(_xlfn.BASE(N120,2,8))-9=1,566,IF(LEN(_xlfn.BASE(N120,2,8))-9=2,1132,IF(LEN(_xlfn.BASE(N120,2,8))-9=3,2264)))))</f>
        <v>69</v>
      </c>
      <c r="O121" s="145">
        <f t="shared" ref="O121" ca="1" si="167">IF(LEN(_xlfn.BASE(O120,2,8))-9&lt;0,O120,IF(LEN(_xlfn.BASE(O120,2,8))-9=0,283,IF(LEN(_xlfn.BASE(O120,2,8))-9=1,566,IF(LEN(_xlfn.BASE(O120,2,8))-9=2,1132,IF(LEN(_xlfn.BASE(O120,2,8))-9=3,2264)))))</f>
        <v>33</v>
      </c>
      <c r="P121" s="145">
        <f t="shared" ref="P121" ca="1" si="168">IF(LEN(_xlfn.BASE(P120,2,8))-9&lt;0,P120,IF(LEN(_xlfn.BASE(P120,2,8))-9=0,283,IF(LEN(_xlfn.BASE(P120,2,8))-9=1,566,IF(LEN(_xlfn.BASE(P120,2,8))-9=2,1132,IF(LEN(_xlfn.BASE(P120,2,8))-9=3,2264)))))</f>
        <v>42</v>
      </c>
      <c r="Q121" s="145">
        <f t="shared" ref="Q121" ca="1" si="169">IF(LEN(_xlfn.BASE(Q120,2,8))-9&lt;0,Q120,IF(LEN(_xlfn.BASE(Q120,2,8))-9=0,283,IF(LEN(_xlfn.BASE(Q120,2,8))-9=1,566,IF(LEN(_xlfn.BASE(Q120,2,8))-9=2,1132,IF(LEN(_xlfn.BASE(Q120,2,8))-9=3,2264)))))</f>
        <v>283</v>
      </c>
      <c r="R121" s="145" t="str">
        <f t="shared" ref="R121" ca="1" si="170">LEN(_xlfn.BASE(N121,2,8))&amp;","&amp;LEN(_xlfn.BASE(O121,2,8))&amp;","&amp;LEN(_xlfn.BASE(P121,2,8))&amp;","&amp;LEN(_xlfn.BASE(Q121,2,8))</f>
        <v>8,8,8,9</v>
      </c>
      <c r="S121" s="366" t="str">
        <f t="shared" ref="S121:S126" ca="1" si="171">_xlfn.BASE(N121,2,8)&amp;","&amp;_xlfn.BASE(O121,2,8)&amp;","&amp;_xlfn.BASE(P121,2,8)&amp;","&amp;_xlfn.BASE(Q121,2,8)</f>
        <v>01000101,00100001,00101010,100011011</v>
      </c>
      <c r="T121" s="366"/>
      <c r="U121" s="366"/>
      <c r="V121" s="3"/>
      <c r="W121" s="145" t="s">
        <v>72</v>
      </c>
      <c r="X121" s="145">
        <f ca="1">IF(LEN(_xlfn.BASE(X120,2,8))-9&lt;0,X120,IF(LEN(_xlfn.BASE(X120,2,8))-9=0,283,IF(LEN(_xlfn.BASE(X120,2,8))-9=1,566,IF(LEN(_xlfn.BASE(X120,2,8))-9=2,1132,IF(LEN(_xlfn.BASE(X120,2,8))-9=3,2264)))))</f>
        <v>133</v>
      </c>
      <c r="Y121" s="145">
        <f t="shared" ref="Y121" ca="1" si="172">IF(LEN(_xlfn.BASE(Y120,2,8))-9&lt;0,Y120,IF(LEN(_xlfn.BASE(Y120,2,8))-9=0,283,IF(LEN(_xlfn.BASE(Y120,2,8))-9=1,566,IF(LEN(_xlfn.BASE(Y120,2,8))-9=2,1132,IF(LEN(_xlfn.BASE(Y120,2,8))-9=3,2264)))))</f>
        <v>113</v>
      </c>
      <c r="Z121" s="145">
        <f t="shared" ref="Z121" ca="1" si="173">IF(LEN(_xlfn.BASE(Z120,2,8))-9&lt;0,Z120,IF(LEN(_xlfn.BASE(Z120,2,8))-9=0,283,IF(LEN(_xlfn.BASE(Z120,2,8))-9=1,566,IF(LEN(_xlfn.BASE(Z120,2,8))-9=2,1132,IF(LEN(_xlfn.BASE(Z120,2,8))-9=3,2264)))))</f>
        <v>283</v>
      </c>
      <c r="AA121" s="145">
        <f t="shared" ref="AA121" ca="1" si="174">IF(LEN(_xlfn.BASE(AA120,2,8))-9&lt;0,AA120,IF(LEN(_xlfn.BASE(AA120,2,8))-9=0,283,IF(LEN(_xlfn.BASE(AA120,2,8))-9=1,566,IF(LEN(_xlfn.BASE(AA120,2,8))-9=2,1132,IF(LEN(_xlfn.BASE(AA120,2,8))-9=3,2264)))))</f>
        <v>245</v>
      </c>
      <c r="AB121" s="145" t="str">
        <f t="shared" ref="AB121" ca="1" si="175">LEN(_xlfn.BASE(X121,2,8))&amp;","&amp;LEN(_xlfn.BASE(Y121,2,8))&amp;","&amp;LEN(_xlfn.BASE(Z121,2,8))&amp;","&amp;LEN(_xlfn.BASE(AA121,2,8))</f>
        <v>8,8,9,8</v>
      </c>
      <c r="AC121" s="366" t="str">
        <f t="shared" ref="AC121:AC126" ca="1" si="176">_xlfn.BASE(X121,2,8)&amp;","&amp;_xlfn.BASE(Y121,2,8)&amp;","&amp;_xlfn.BASE(Z121,2,8)&amp;","&amp;_xlfn.BASE(AA121,2,8)</f>
        <v>10000101,01110001,100011011,11110101</v>
      </c>
      <c r="AD121" s="366"/>
      <c r="AE121" s="366"/>
      <c r="AF121" s="3"/>
      <c r="AG121" s="145" t="s">
        <v>72</v>
      </c>
      <c r="AH121" s="145">
        <f ca="1">IF(LEN(_xlfn.BASE(AH120,2,8))-9&lt;0,AH120,IF(LEN(_xlfn.BASE(AH120,2,8))-9=0,283,IF(LEN(_xlfn.BASE(AH120,2,8))-9=1,566,IF(LEN(_xlfn.BASE(AH120,2,8))-9=2,1132,IF(LEN(_xlfn.BASE(AH120,2,8))-9=3,2264)))))</f>
        <v>216</v>
      </c>
      <c r="AI121" s="145">
        <f t="shared" ref="AI121" ca="1" si="177">IF(LEN(_xlfn.BASE(AI120,2,8))-9&lt;0,AI120,IF(LEN(_xlfn.BASE(AI120,2,8))-9=0,283,IF(LEN(_xlfn.BASE(AI120,2,8))-9=1,566,IF(LEN(_xlfn.BASE(AI120,2,8))-9=2,1132,IF(LEN(_xlfn.BASE(AI120,2,8))-9=3,2264)))))</f>
        <v>59</v>
      </c>
      <c r="AJ121" s="145">
        <f t="shared" ref="AJ121" ca="1" si="178">IF(LEN(_xlfn.BASE(AJ120,2,8))-9&lt;0,AJ120,IF(LEN(_xlfn.BASE(AJ120,2,8))-9=0,283,IF(LEN(_xlfn.BASE(AJ120,2,8))-9=1,566,IF(LEN(_xlfn.BASE(AJ120,2,8))-9=2,1132,IF(LEN(_xlfn.BASE(AJ120,2,8))-9=3,2264)))))</f>
        <v>283</v>
      </c>
      <c r="AK121" s="145">
        <f t="shared" ref="AK121" ca="1" si="179">IF(LEN(_xlfn.BASE(AK120,2,8))-9&lt;0,AK120,IF(LEN(_xlfn.BASE(AK120,2,8))-9=0,283,IF(LEN(_xlfn.BASE(AK120,2,8))-9=1,566,IF(LEN(_xlfn.BASE(AK120,2,8))-9=2,1132,IF(LEN(_xlfn.BASE(AK120,2,8))-9=3,2264)))))</f>
        <v>283</v>
      </c>
      <c r="AL121" s="145" t="str">
        <f t="shared" ref="AL121" ca="1" si="180">LEN(_xlfn.BASE(AH121,2,8))&amp;","&amp;LEN(_xlfn.BASE(AI121,2,8))&amp;","&amp;LEN(_xlfn.BASE(AJ121,2,8))&amp;","&amp;LEN(_xlfn.BASE(AK121,2,8))</f>
        <v>8,8,9,9</v>
      </c>
      <c r="AM121" s="366" t="str">
        <f t="shared" ref="AM121:AM126" ca="1" si="181">_xlfn.BASE(AH121,2,8)&amp;","&amp;_xlfn.BASE(AI121,2,8)&amp;","&amp;_xlfn.BASE(AJ121,2,8)&amp;","&amp;_xlfn.BASE(AK121,2,8)</f>
        <v>11011000,00111011,100011011,100011011</v>
      </c>
      <c r="AN121" s="366"/>
      <c r="AO121" s="366"/>
      <c r="AP121" s="178"/>
      <c r="AQ121" s="109"/>
      <c r="AR121" s="109"/>
      <c r="AS121" s="109"/>
      <c r="AT121" s="109"/>
      <c r="AU121" s="109"/>
      <c r="AV121" s="109"/>
      <c r="AW121" s="109"/>
      <c r="AX121" s="109"/>
      <c r="AY121" s="109"/>
      <c r="AZ121" s="109"/>
      <c r="BA121" s="109"/>
      <c r="BB121" s="109"/>
      <c r="BC121" s="109"/>
      <c r="BD121" s="109"/>
      <c r="BE121" s="109"/>
      <c r="BF121" s="109"/>
      <c r="BG121" s="109"/>
      <c r="BH121" s="109"/>
      <c r="BI121" s="109"/>
      <c r="BJ121" s="109"/>
      <c r="BK121" s="109"/>
    </row>
    <row r="122" spans="2:63" x14ac:dyDescent="0.25">
      <c r="B122" s="371"/>
      <c r="C122" s="139"/>
      <c r="D122" s="139">
        <f ca="1">IF(_xlfn.BITXOR(D120,D121)=0,D120,_xlfn.BITXOR(D120,D121))</f>
        <v>147</v>
      </c>
      <c r="E122" s="139">
        <f t="shared" ref="E122" ca="1" si="182">IF(_xlfn.BITXOR(E120,E121)=0,E120,_xlfn.BITXOR(E120,E121))</f>
        <v>2</v>
      </c>
      <c r="F122" s="139">
        <f t="shared" ref="F122" ca="1" si="183">IF(_xlfn.BITXOR(F120,F121)=0,F120,_xlfn.BITXOR(F120,F121))</f>
        <v>102</v>
      </c>
      <c r="G122" s="139">
        <f t="shared" ref="G122" ca="1" si="184">IF(_xlfn.BITXOR(G120,G121)=0,G120,_xlfn.BITXOR(G120,G121))</f>
        <v>115</v>
      </c>
      <c r="H122" s="139" t="str">
        <f ca="1">LEN(_xlfn.BASE(D122,2,8))&amp;","&amp;LEN(_xlfn.BASE(E122,2,8))&amp;","&amp;LEN(_xlfn.BASE(F122,2,8))&amp;","&amp;LEN(_xlfn.BASE(G122,2,8))</f>
        <v>8,8,8,8</v>
      </c>
      <c r="I122" s="339" t="str">
        <f t="shared" ca="1" si="166"/>
        <v>10010011,00000010,01100110,01110011</v>
      </c>
      <c r="J122" s="339"/>
      <c r="K122" s="339"/>
      <c r="L122" s="3"/>
      <c r="M122" s="139"/>
      <c r="N122" s="139">
        <f ca="1">IF(_xlfn.BITXOR(N120,N121)=0,N120,_xlfn.BITXOR(N120,N121))</f>
        <v>69</v>
      </c>
      <c r="O122" s="139">
        <f t="shared" ref="O122" ca="1" si="185">IF(_xlfn.BITXOR(O120,O121)=0,O120,_xlfn.BITXOR(O120,O121))</f>
        <v>33</v>
      </c>
      <c r="P122" s="139">
        <f t="shared" ref="P122" ca="1" si="186">IF(_xlfn.BITXOR(P120,P121)=0,P120,_xlfn.BITXOR(P120,P121))</f>
        <v>42</v>
      </c>
      <c r="Q122" s="139">
        <f t="shared" ref="Q122" ca="1" si="187">IF(_xlfn.BITXOR(Q120,Q121)=0,Q120,_xlfn.BITXOR(Q120,Q121))</f>
        <v>227</v>
      </c>
      <c r="R122" s="139" t="str">
        <f ca="1">LEN(_xlfn.BASE(N122,2,8))&amp;","&amp;LEN(_xlfn.BASE(O122,2,8))&amp;","&amp;LEN(_xlfn.BASE(P122,2,8))&amp;","&amp;LEN(_xlfn.BASE(Q122,2,8))</f>
        <v>8,8,8,8</v>
      </c>
      <c r="S122" s="339" t="str">
        <f t="shared" ca="1" si="171"/>
        <v>01000101,00100001,00101010,11100011</v>
      </c>
      <c r="T122" s="339"/>
      <c r="U122" s="339"/>
      <c r="V122" s="3"/>
      <c r="W122" s="139"/>
      <c r="X122" s="139">
        <f ca="1">IF(_xlfn.BITXOR(X120,X121)=0,X120,_xlfn.BITXOR(X120,X121))</f>
        <v>133</v>
      </c>
      <c r="Y122" s="139">
        <f t="shared" ref="Y122" ca="1" si="188">IF(_xlfn.BITXOR(Y120,Y121)=0,Y120,_xlfn.BITXOR(Y120,Y121))</f>
        <v>113</v>
      </c>
      <c r="Z122" s="139">
        <f t="shared" ref="Z122" ca="1" si="189">IF(_xlfn.BITXOR(Z120,Z121)=0,Z120,_xlfn.BITXOR(Z120,Z121))</f>
        <v>17</v>
      </c>
      <c r="AA122" s="139">
        <f t="shared" ref="AA122" ca="1" si="190">IF(_xlfn.BITXOR(AA120,AA121)=0,AA120,_xlfn.BITXOR(AA120,AA121))</f>
        <v>245</v>
      </c>
      <c r="AB122" s="139" t="str">
        <f ca="1">LEN(_xlfn.BASE(X122,2,8))&amp;","&amp;LEN(_xlfn.BASE(Y122,2,8))&amp;","&amp;LEN(_xlfn.BASE(Z122,2,8))&amp;","&amp;LEN(_xlfn.BASE(AA122,2,8))</f>
        <v>8,8,8,8</v>
      </c>
      <c r="AC122" s="339" t="str">
        <f t="shared" ca="1" si="176"/>
        <v>10000101,01110001,00010001,11110101</v>
      </c>
      <c r="AD122" s="339"/>
      <c r="AE122" s="339"/>
      <c r="AF122" s="3"/>
      <c r="AG122" s="139"/>
      <c r="AH122" s="139">
        <f ca="1">IF(_xlfn.BITXOR(AH120,AH121)=0,AH120,_xlfn.BITXOR(AH120,AH121))</f>
        <v>216</v>
      </c>
      <c r="AI122" s="139">
        <f t="shared" ref="AI122" ca="1" si="191">IF(_xlfn.BITXOR(AI120,AI121)=0,AI120,_xlfn.BITXOR(AI120,AI121))</f>
        <v>59</v>
      </c>
      <c r="AJ122" s="139">
        <f t="shared" ref="AJ122" ca="1" si="192">IF(_xlfn.BITXOR(AJ120,AJ121)=0,AJ120,_xlfn.BITXOR(AJ120,AJ121))</f>
        <v>245</v>
      </c>
      <c r="AK122" s="139">
        <f t="shared" ref="AK122" ca="1" si="193">IF(_xlfn.BITXOR(AK120,AK121)=0,AK120,_xlfn.BITXOR(AK120,AK121))</f>
        <v>227</v>
      </c>
      <c r="AL122" s="139" t="str">
        <f ca="1">LEN(_xlfn.BASE(AH122,2,8))&amp;","&amp;LEN(_xlfn.BASE(AI122,2,8))&amp;","&amp;LEN(_xlfn.BASE(AJ122,2,8))&amp;","&amp;LEN(_xlfn.BASE(AK122,2,8))</f>
        <v>8,8,8,8</v>
      </c>
      <c r="AM122" s="339" t="str">
        <f t="shared" ca="1" si="181"/>
        <v>11011000,00111011,11110101,11100011</v>
      </c>
      <c r="AN122" s="339"/>
      <c r="AO122" s="339"/>
      <c r="AP122" s="178"/>
      <c r="AQ122" s="109"/>
      <c r="AR122" s="109"/>
      <c r="AS122" s="109"/>
      <c r="AT122" s="109"/>
      <c r="AU122" s="109"/>
      <c r="AV122" s="109"/>
      <c r="AW122" s="109"/>
      <c r="AX122" s="109"/>
      <c r="AY122" s="109"/>
      <c r="AZ122" s="109"/>
      <c r="BA122" s="109"/>
      <c r="BB122" s="109"/>
      <c r="BC122" s="109"/>
      <c r="BD122" s="109"/>
      <c r="BE122" s="109"/>
      <c r="BF122" s="109"/>
      <c r="BG122" s="109"/>
      <c r="BH122" s="109"/>
      <c r="BI122" s="109"/>
      <c r="BJ122" s="109"/>
      <c r="BK122" s="109"/>
    </row>
    <row r="123" spans="2:63" x14ac:dyDescent="0.25">
      <c r="B123" s="371"/>
      <c r="C123" s="145" t="s">
        <v>72</v>
      </c>
      <c r="D123" s="145">
        <f ca="1">IF(LEN(_xlfn.BASE(D122,2,8))-9&lt;0,D122,IF(LEN(_xlfn.BASE(D122,2,8))-9=0,283,IF(LEN(_xlfn.BASE(D122,2,8))-9=1,566,IF(LEN(_xlfn.BASE(D122,2,8))-9=2,1132,IF(LEN(_xlfn.BASE(D122,2,8))-9=3,2264)))))</f>
        <v>147</v>
      </c>
      <c r="E123" s="145">
        <f t="shared" ref="E123" ca="1" si="194">IF(LEN(_xlfn.BASE(E122,2,8))-9&lt;0,E122,IF(LEN(_xlfn.BASE(E122,2,8))-9=0,283,IF(LEN(_xlfn.BASE(E122,2,8))-9=1,566,IF(LEN(_xlfn.BASE(E122,2,8))-9=2,1132,IF(LEN(_xlfn.BASE(E122,2,8))-9=3,2264)))))</f>
        <v>2</v>
      </c>
      <c r="F123" s="145">
        <f t="shared" ref="F123" ca="1" si="195">IF(LEN(_xlfn.BASE(F122,2,8))-9&lt;0,F122,IF(LEN(_xlfn.BASE(F122,2,8))-9=0,283,IF(LEN(_xlfn.BASE(F122,2,8))-9=1,566,IF(LEN(_xlfn.BASE(F122,2,8))-9=2,1132,IF(LEN(_xlfn.BASE(F122,2,8))-9=3,2264)))))</f>
        <v>102</v>
      </c>
      <c r="G123" s="145">
        <f t="shared" ref="G123" ca="1" si="196">IF(LEN(_xlfn.BASE(G122,2,8))-9&lt;0,G122,IF(LEN(_xlfn.BASE(G122,2,8))-9=0,283,IF(LEN(_xlfn.BASE(G122,2,8))-9=1,566,IF(LEN(_xlfn.BASE(G122,2,8))-9=2,1132,IF(LEN(_xlfn.BASE(G122,2,8))-9=3,2264)))))</f>
        <v>115</v>
      </c>
      <c r="H123" s="145" t="str">
        <f t="shared" ref="H123:H126" ca="1" si="197">LEN(_xlfn.BASE(D123,2,8))&amp;","&amp;LEN(_xlfn.BASE(E123,2,8))&amp;","&amp;LEN(_xlfn.BASE(F123,2,8))&amp;","&amp;LEN(_xlfn.BASE(G123,2,8))</f>
        <v>8,8,8,8</v>
      </c>
      <c r="I123" s="366" t="str">
        <f t="shared" ca="1" si="166"/>
        <v>10010011,00000010,01100110,01110011</v>
      </c>
      <c r="J123" s="366"/>
      <c r="K123" s="366"/>
      <c r="L123" s="3"/>
      <c r="M123" s="145" t="s">
        <v>72</v>
      </c>
      <c r="N123" s="145">
        <f ca="1">IF(LEN(_xlfn.BASE(N122,2,8))-9&lt;0,N122,IF(LEN(_xlfn.BASE(N122,2,8))-9=0,283,IF(LEN(_xlfn.BASE(N122,2,8))-9=1,566,IF(LEN(_xlfn.BASE(N122,2,8))-9=2,1132,IF(LEN(_xlfn.BASE(N122,2,8))-9=3,2264)))))</f>
        <v>69</v>
      </c>
      <c r="O123" s="145">
        <f t="shared" ref="O123" ca="1" si="198">IF(LEN(_xlfn.BASE(O122,2,8))-9&lt;0,O122,IF(LEN(_xlfn.BASE(O122,2,8))-9=0,283,IF(LEN(_xlfn.BASE(O122,2,8))-9=1,566,IF(LEN(_xlfn.BASE(O122,2,8))-9=2,1132,IF(LEN(_xlfn.BASE(O122,2,8))-9=3,2264)))))</f>
        <v>33</v>
      </c>
      <c r="P123" s="145">
        <f t="shared" ref="P123" ca="1" si="199">IF(LEN(_xlfn.BASE(P122,2,8))-9&lt;0,P122,IF(LEN(_xlfn.BASE(P122,2,8))-9=0,283,IF(LEN(_xlfn.BASE(P122,2,8))-9=1,566,IF(LEN(_xlfn.BASE(P122,2,8))-9=2,1132,IF(LEN(_xlfn.BASE(P122,2,8))-9=3,2264)))))</f>
        <v>42</v>
      </c>
      <c r="Q123" s="145">
        <f t="shared" ref="Q123" ca="1" si="200">IF(LEN(_xlfn.BASE(Q122,2,8))-9&lt;0,Q122,IF(LEN(_xlfn.BASE(Q122,2,8))-9=0,283,IF(LEN(_xlfn.BASE(Q122,2,8))-9=1,566,IF(LEN(_xlfn.BASE(Q122,2,8))-9=2,1132,IF(LEN(_xlfn.BASE(Q122,2,8))-9=3,2264)))))</f>
        <v>227</v>
      </c>
      <c r="R123" s="145" t="str">
        <f t="shared" ref="R123:R126" ca="1" si="201">LEN(_xlfn.BASE(N123,2,8))&amp;","&amp;LEN(_xlfn.BASE(O123,2,8))&amp;","&amp;LEN(_xlfn.BASE(P123,2,8))&amp;","&amp;LEN(_xlfn.BASE(Q123,2,8))</f>
        <v>8,8,8,8</v>
      </c>
      <c r="S123" s="366" t="str">
        <f t="shared" ca="1" si="171"/>
        <v>01000101,00100001,00101010,11100011</v>
      </c>
      <c r="T123" s="366"/>
      <c r="U123" s="366"/>
      <c r="V123" s="3"/>
      <c r="W123" s="145" t="s">
        <v>72</v>
      </c>
      <c r="X123" s="145">
        <f ca="1">IF(LEN(_xlfn.BASE(X122,2,8))-9&lt;0,X122,IF(LEN(_xlfn.BASE(X122,2,8))-9=0,283,IF(LEN(_xlfn.BASE(X122,2,8))-9=1,566,IF(LEN(_xlfn.BASE(X122,2,8))-9=2,1132,IF(LEN(_xlfn.BASE(X122,2,8))-9=3,2264)))))</f>
        <v>133</v>
      </c>
      <c r="Y123" s="145">
        <f t="shared" ref="Y123" ca="1" si="202">IF(LEN(_xlfn.BASE(Y122,2,8))-9&lt;0,Y122,IF(LEN(_xlfn.BASE(Y122,2,8))-9=0,283,IF(LEN(_xlfn.BASE(Y122,2,8))-9=1,566,IF(LEN(_xlfn.BASE(Y122,2,8))-9=2,1132,IF(LEN(_xlfn.BASE(Y122,2,8))-9=3,2264)))))</f>
        <v>113</v>
      </c>
      <c r="Z123" s="145">
        <f t="shared" ref="Z123" ca="1" si="203">IF(LEN(_xlfn.BASE(Z122,2,8))-9&lt;0,Z122,IF(LEN(_xlfn.BASE(Z122,2,8))-9=0,283,IF(LEN(_xlfn.BASE(Z122,2,8))-9=1,566,IF(LEN(_xlfn.BASE(Z122,2,8))-9=2,1132,IF(LEN(_xlfn.BASE(Z122,2,8))-9=3,2264)))))</f>
        <v>17</v>
      </c>
      <c r="AA123" s="145">
        <f t="shared" ref="AA123" ca="1" si="204">IF(LEN(_xlfn.BASE(AA122,2,8))-9&lt;0,AA122,IF(LEN(_xlfn.BASE(AA122,2,8))-9=0,283,IF(LEN(_xlfn.BASE(AA122,2,8))-9=1,566,IF(LEN(_xlfn.BASE(AA122,2,8))-9=2,1132,IF(LEN(_xlfn.BASE(AA122,2,8))-9=3,2264)))))</f>
        <v>245</v>
      </c>
      <c r="AB123" s="145" t="str">
        <f t="shared" ref="AB123:AB126" ca="1" si="205">LEN(_xlfn.BASE(X123,2,8))&amp;","&amp;LEN(_xlfn.BASE(Y123,2,8))&amp;","&amp;LEN(_xlfn.BASE(Z123,2,8))&amp;","&amp;LEN(_xlfn.BASE(AA123,2,8))</f>
        <v>8,8,8,8</v>
      </c>
      <c r="AC123" s="366" t="str">
        <f t="shared" ca="1" si="176"/>
        <v>10000101,01110001,00010001,11110101</v>
      </c>
      <c r="AD123" s="366"/>
      <c r="AE123" s="366"/>
      <c r="AF123" s="3"/>
      <c r="AG123" s="145" t="s">
        <v>72</v>
      </c>
      <c r="AH123" s="145">
        <f ca="1">IF(LEN(_xlfn.BASE(AH122,2,8))-9&lt;0,AH122,IF(LEN(_xlfn.BASE(AH122,2,8))-9=0,283,IF(LEN(_xlfn.BASE(AH122,2,8))-9=1,566,IF(LEN(_xlfn.BASE(AH122,2,8))-9=2,1132,IF(LEN(_xlfn.BASE(AH122,2,8))-9=3,2264)))))</f>
        <v>216</v>
      </c>
      <c r="AI123" s="145">
        <f t="shared" ref="AI123" ca="1" si="206">IF(LEN(_xlfn.BASE(AI122,2,8))-9&lt;0,AI122,IF(LEN(_xlfn.BASE(AI122,2,8))-9=0,283,IF(LEN(_xlfn.BASE(AI122,2,8))-9=1,566,IF(LEN(_xlfn.BASE(AI122,2,8))-9=2,1132,IF(LEN(_xlfn.BASE(AI122,2,8))-9=3,2264)))))</f>
        <v>59</v>
      </c>
      <c r="AJ123" s="145">
        <f t="shared" ref="AJ123" ca="1" si="207">IF(LEN(_xlfn.BASE(AJ122,2,8))-9&lt;0,AJ122,IF(LEN(_xlfn.BASE(AJ122,2,8))-9=0,283,IF(LEN(_xlfn.BASE(AJ122,2,8))-9=1,566,IF(LEN(_xlfn.BASE(AJ122,2,8))-9=2,1132,IF(LEN(_xlfn.BASE(AJ122,2,8))-9=3,2264)))))</f>
        <v>245</v>
      </c>
      <c r="AK123" s="145">
        <f t="shared" ref="AK123" ca="1" si="208">IF(LEN(_xlfn.BASE(AK122,2,8))-9&lt;0,AK122,IF(LEN(_xlfn.BASE(AK122,2,8))-9=0,283,IF(LEN(_xlfn.BASE(AK122,2,8))-9=1,566,IF(LEN(_xlfn.BASE(AK122,2,8))-9=2,1132,IF(LEN(_xlfn.BASE(AK122,2,8))-9=3,2264)))))</f>
        <v>227</v>
      </c>
      <c r="AL123" s="145" t="str">
        <f t="shared" ref="AL123:AL126" ca="1" si="209">LEN(_xlfn.BASE(AH123,2,8))&amp;","&amp;LEN(_xlfn.BASE(AI123,2,8))&amp;","&amp;LEN(_xlfn.BASE(AJ123,2,8))&amp;","&amp;LEN(_xlfn.BASE(AK123,2,8))</f>
        <v>8,8,8,8</v>
      </c>
      <c r="AM123" s="366" t="str">
        <f t="shared" ca="1" si="181"/>
        <v>11011000,00111011,11110101,11100011</v>
      </c>
      <c r="AN123" s="366"/>
      <c r="AO123" s="366"/>
      <c r="AP123" s="178"/>
      <c r="AQ123" s="109"/>
      <c r="AR123" s="109"/>
      <c r="AS123" s="109"/>
      <c r="AT123" s="109"/>
      <c r="AU123" s="109"/>
      <c r="AV123" s="109"/>
      <c r="AW123" s="109"/>
      <c r="AX123" s="109"/>
      <c r="AY123" s="109"/>
      <c r="AZ123" s="109"/>
      <c r="BA123" s="109"/>
      <c r="BB123" s="109"/>
      <c r="BC123" s="109"/>
      <c r="BD123" s="109"/>
      <c r="BE123" s="109"/>
      <c r="BF123" s="109"/>
      <c r="BG123" s="109"/>
      <c r="BH123" s="109"/>
      <c r="BI123" s="109"/>
      <c r="BJ123" s="109"/>
      <c r="BK123" s="109"/>
    </row>
    <row r="124" spans="2:63" x14ac:dyDescent="0.25">
      <c r="B124" s="371"/>
      <c r="C124" s="139"/>
      <c r="D124" s="139">
        <f ca="1">IF(_xlfn.BITXOR(D122,D123)=0,D123,_xlfn.BITXOR(D122,D123))</f>
        <v>147</v>
      </c>
      <c r="E124" s="139">
        <f t="shared" ref="E124" ca="1" si="210">IF(_xlfn.BITXOR(E122,E123)=0,E123,_xlfn.BITXOR(E122,E123))</f>
        <v>2</v>
      </c>
      <c r="F124" s="139">
        <f t="shared" ref="F124" ca="1" si="211">IF(_xlfn.BITXOR(F122,F123)=0,F123,_xlfn.BITXOR(F122,F123))</f>
        <v>102</v>
      </c>
      <c r="G124" s="139">
        <f t="shared" ref="G124" ca="1" si="212">IF(_xlfn.BITXOR(G122,G123)=0,G123,_xlfn.BITXOR(G122,G123))</f>
        <v>115</v>
      </c>
      <c r="H124" s="139" t="str">
        <f t="shared" ca="1" si="197"/>
        <v>8,8,8,8</v>
      </c>
      <c r="I124" s="339" t="str">
        <f t="shared" ca="1" si="166"/>
        <v>10010011,00000010,01100110,01110011</v>
      </c>
      <c r="J124" s="339"/>
      <c r="K124" s="339"/>
      <c r="L124" s="139"/>
      <c r="M124" s="139"/>
      <c r="N124" s="139">
        <f ca="1">IF(_xlfn.BITXOR(N122,N123)=0,N123,_xlfn.BITXOR(N122,N123))</f>
        <v>69</v>
      </c>
      <c r="O124" s="139">
        <f t="shared" ref="O124" ca="1" si="213">IF(_xlfn.BITXOR(O122,O123)=0,O123,_xlfn.BITXOR(O122,O123))</f>
        <v>33</v>
      </c>
      <c r="P124" s="139">
        <f t="shared" ref="P124" ca="1" si="214">IF(_xlfn.BITXOR(P122,P123)=0,P123,_xlfn.BITXOR(P122,P123))</f>
        <v>42</v>
      </c>
      <c r="Q124" s="139">
        <f t="shared" ref="Q124" ca="1" si="215">IF(_xlfn.BITXOR(Q122,Q123)=0,Q123,_xlfn.BITXOR(Q122,Q123))</f>
        <v>227</v>
      </c>
      <c r="R124" s="139" t="str">
        <f t="shared" ca="1" si="201"/>
        <v>8,8,8,8</v>
      </c>
      <c r="S124" s="339" t="str">
        <f t="shared" ca="1" si="171"/>
        <v>01000101,00100001,00101010,11100011</v>
      </c>
      <c r="T124" s="339"/>
      <c r="U124" s="339"/>
      <c r="V124" s="139"/>
      <c r="W124" s="139"/>
      <c r="X124" s="139">
        <f ca="1">IF(_xlfn.BITXOR(X122,X123)=0,X123,_xlfn.BITXOR(X122,X123))</f>
        <v>133</v>
      </c>
      <c r="Y124" s="139">
        <f t="shared" ref="Y124" ca="1" si="216">IF(_xlfn.BITXOR(Y122,Y123)=0,Y123,_xlfn.BITXOR(Y122,Y123))</f>
        <v>113</v>
      </c>
      <c r="Z124" s="139">
        <f t="shared" ref="Z124" ca="1" si="217">IF(_xlfn.BITXOR(Z122,Z123)=0,Z123,_xlfn.BITXOR(Z122,Z123))</f>
        <v>17</v>
      </c>
      <c r="AA124" s="139">
        <f t="shared" ref="AA124" ca="1" si="218">IF(_xlfn.BITXOR(AA122,AA123)=0,AA123,_xlfn.BITXOR(AA122,AA123))</f>
        <v>245</v>
      </c>
      <c r="AB124" s="139" t="str">
        <f t="shared" ca="1" si="205"/>
        <v>8,8,8,8</v>
      </c>
      <c r="AC124" s="339" t="str">
        <f t="shared" ca="1" si="176"/>
        <v>10000101,01110001,00010001,11110101</v>
      </c>
      <c r="AD124" s="339"/>
      <c r="AE124" s="339"/>
      <c r="AF124" s="3"/>
      <c r="AG124" s="139"/>
      <c r="AH124" s="139">
        <f ca="1">IF(_xlfn.BITXOR(AH122,AH123)=0,AH123,_xlfn.BITXOR(AH122,AH123))</f>
        <v>216</v>
      </c>
      <c r="AI124" s="139">
        <f t="shared" ref="AI124" ca="1" si="219">IF(_xlfn.BITXOR(AI122,AI123)=0,AI123,_xlfn.BITXOR(AI122,AI123))</f>
        <v>59</v>
      </c>
      <c r="AJ124" s="139">
        <f t="shared" ref="AJ124" ca="1" si="220">IF(_xlfn.BITXOR(AJ122,AJ123)=0,AJ123,_xlfn.BITXOR(AJ122,AJ123))</f>
        <v>245</v>
      </c>
      <c r="AK124" s="139">
        <f t="shared" ref="AK124" ca="1" si="221">IF(_xlfn.BITXOR(AK122,AK123)=0,AK123,_xlfn.BITXOR(AK122,AK123))</f>
        <v>227</v>
      </c>
      <c r="AL124" s="139" t="str">
        <f t="shared" ca="1" si="209"/>
        <v>8,8,8,8</v>
      </c>
      <c r="AM124" s="339" t="str">
        <f t="shared" ca="1" si="181"/>
        <v>11011000,00111011,11110101,11100011</v>
      </c>
      <c r="AN124" s="339"/>
      <c r="AO124" s="339"/>
      <c r="AP124" s="178"/>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09"/>
    </row>
    <row r="125" spans="2:63" x14ac:dyDescent="0.25">
      <c r="B125" s="371"/>
      <c r="C125" s="93" t="s">
        <v>72</v>
      </c>
      <c r="D125" s="145">
        <f ca="1">IF(LEN(_xlfn.BASE(D124,2,8))-9&lt;0,D124,IF(LEN(_xlfn.BASE(D124,2,8))-9=0,283,IF(LEN(_xlfn.BASE(D124,2,8))-9=1,566,IF(LEN(_xlfn.BASE(D124,2,8))-9=2,1132,IF(LEN(_xlfn.BASE(D124,2,8))-9=3,2264)))))</f>
        <v>147</v>
      </c>
      <c r="E125" s="145">
        <f t="shared" ref="E125" ca="1" si="222">IF(LEN(_xlfn.BASE(E124,2,8))-9&lt;0,E124,IF(LEN(_xlfn.BASE(E124,2,8))-9=0,283,IF(LEN(_xlfn.BASE(E124,2,8))-9=1,566,IF(LEN(_xlfn.BASE(E124,2,8))-9=2,1132,IF(LEN(_xlfn.BASE(E124,2,8))-9=3,2264)))))</f>
        <v>2</v>
      </c>
      <c r="F125" s="145">
        <f t="shared" ref="F125" ca="1" si="223">IF(LEN(_xlfn.BASE(F124,2,8))-9&lt;0,F124,IF(LEN(_xlfn.BASE(F124,2,8))-9=0,283,IF(LEN(_xlfn.BASE(F124,2,8))-9=1,566,IF(LEN(_xlfn.BASE(F124,2,8))-9=2,1132,IF(LEN(_xlfn.BASE(F124,2,8))-9=3,2264)))))</f>
        <v>102</v>
      </c>
      <c r="G125" s="145">
        <f t="shared" ref="G125" ca="1" si="224">IF(LEN(_xlfn.BASE(G124,2,8))-9&lt;0,G124,IF(LEN(_xlfn.BASE(G124,2,8))-9=0,283,IF(LEN(_xlfn.BASE(G124,2,8))-9=1,566,IF(LEN(_xlfn.BASE(G124,2,8))-9=2,1132,IF(LEN(_xlfn.BASE(G124,2,8))-9=3,2264)))))</f>
        <v>115</v>
      </c>
      <c r="H125" s="93" t="str">
        <f t="shared" ca="1" si="197"/>
        <v>8,8,8,8</v>
      </c>
      <c r="I125" s="366" t="str">
        <f t="shared" ca="1" si="166"/>
        <v>10010011,00000010,01100110,01110011</v>
      </c>
      <c r="J125" s="366"/>
      <c r="K125" s="366"/>
      <c r="L125" s="139"/>
      <c r="M125" s="93" t="s">
        <v>72</v>
      </c>
      <c r="N125" s="145">
        <f ca="1">IF(LEN(_xlfn.BASE(N124,2,8))-9&lt;0,N124,IF(LEN(_xlfn.BASE(N124,2,8))-9=0,283,IF(LEN(_xlfn.BASE(N124,2,8))-9=1,566,IF(LEN(_xlfn.BASE(N124,2,8))-9=2,1132,IF(LEN(_xlfn.BASE(N124,2,8))-9=3,2264)))))</f>
        <v>69</v>
      </c>
      <c r="O125" s="145">
        <f t="shared" ref="O125" ca="1" si="225">IF(LEN(_xlfn.BASE(O124,2,8))-9&lt;0,O124,IF(LEN(_xlfn.BASE(O124,2,8))-9=0,283,IF(LEN(_xlfn.BASE(O124,2,8))-9=1,566,IF(LEN(_xlfn.BASE(O124,2,8))-9=2,1132,IF(LEN(_xlfn.BASE(O124,2,8))-9=3,2264)))))</f>
        <v>33</v>
      </c>
      <c r="P125" s="145">
        <f t="shared" ref="P125" ca="1" si="226">IF(LEN(_xlfn.BASE(P124,2,8))-9&lt;0,P124,IF(LEN(_xlfn.BASE(P124,2,8))-9=0,283,IF(LEN(_xlfn.BASE(P124,2,8))-9=1,566,IF(LEN(_xlfn.BASE(P124,2,8))-9=2,1132,IF(LEN(_xlfn.BASE(P124,2,8))-9=3,2264)))))</f>
        <v>42</v>
      </c>
      <c r="Q125" s="145">
        <f t="shared" ref="Q125" ca="1" si="227">IF(LEN(_xlfn.BASE(Q124,2,8))-9&lt;0,Q124,IF(LEN(_xlfn.BASE(Q124,2,8))-9=0,283,IF(LEN(_xlfn.BASE(Q124,2,8))-9=1,566,IF(LEN(_xlfn.BASE(Q124,2,8))-9=2,1132,IF(LEN(_xlfn.BASE(Q124,2,8))-9=3,2264)))))</f>
        <v>227</v>
      </c>
      <c r="R125" s="93" t="str">
        <f t="shared" ca="1" si="201"/>
        <v>8,8,8,8</v>
      </c>
      <c r="S125" s="366" t="str">
        <f t="shared" ca="1" si="171"/>
        <v>01000101,00100001,00101010,11100011</v>
      </c>
      <c r="T125" s="366"/>
      <c r="U125" s="366"/>
      <c r="V125" s="139"/>
      <c r="W125" s="93" t="s">
        <v>72</v>
      </c>
      <c r="X125" s="145">
        <f ca="1">IF(LEN(_xlfn.BASE(X124,2,8))-9&lt;0,X124,IF(LEN(_xlfn.BASE(X124,2,8))-9=0,283,IF(LEN(_xlfn.BASE(X124,2,8))-9=1,566,IF(LEN(_xlfn.BASE(X124,2,8))-9=2,1132,IF(LEN(_xlfn.BASE(X124,2,8))-9=3,2264)))))</f>
        <v>133</v>
      </c>
      <c r="Y125" s="145">
        <f t="shared" ref="Y125" ca="1" si="228">IF(LEN(_xlfn.BASE(Y124,2,8))-9&lt;0,Y124,IF(LEN(_xlfn.BASE(Y124,2,8))-9=0,283,IF(LEN(_xlfn.BASE(Y124,2,8))-9=1,566,IF(LEN(_xlfn.BASE(Y124,2,8))-9=2,1132,IF(LEN(_xlfn.BASE(Y124,2,8))-9=3,2264)))))</f>
        <v>113</v>
      </c>
      <c r="Z125" s="145">
        <f t="shared" ref="Z125" ca="1" si="229">IF(LEN(_xlfn.BASE(Z124,2,8))-9&lt;0,Z124,IF(LEN(_xlfn.BASE(Z124,2,8))-9=0,283,IF(LEN(_xlfn.BASE(Z124,2,8))-9=1,566,IF(LEN(_xlfn.BASE(Z124,2,8))-9=2,1132,IF(LEN(_xlfn.BASE(Z124,2,8))-9=3,2264)))))</f>
        <v>17</v>
      </c>
      <c r="AA125" s="145">
        <f t="shared" ref="AA125" ca="1" si="230">IF(LEN(_xlfn.BASE(AA124,2,8))-9&lt;0,AA124,IF(LEN(_xlfn.BASE(AA124,2,8))-9=0,283,IF(LEN(_xlfn.BASE(AA124,2,8))-9=1,566,IF(LEN(_xlfn.BASE(AA124,2,8))-9=2,1132,IF(LEN(_xlfn.BASE(AA124,2,8))-9=3,2264)))))</f>
        <v>245</v>
      </c>
      <c r="AB125" s="93" t="str">
        <f t="shared" ca="1" si="205"/>
        <v>8,8,8,8</v>
      </c>
      <c r="AC125" s="366" t="str">
        <f t="shared" ca="1" si="176"/>
        <v>10000101,01110001,00010001,11110101</v>
      </c>
      <c r="AD125" s="366"/>
      <c r="AE125" s="366"/>
      <c r="AF125" s="3"/>
      <c r="AG125" s="93" t="s">
        <v>72</v>
      </c>
      <c r="AH125" s="145">
        <f ca="1">IF(LEN(_xlfn.BASE(AH124,2,8))-9&lt;0,AH124,IF(LEN(_xlfn.BASE(AH124,2,8))-9=0,283,IF(LEN(_xlfn.BASE(AH124,2,8))-9=1,566,IF(LEN(_xlfn.BASE(AH124,2,8))-9=2,1132,IF(LEN(_xlfn.BASE(AH124,2,8))-9=3,2264)))))</f>
        <v>216</v>
      </c>
      <c r="AI125" s="145">
        <f t="shared" ref="AI125" ca="1" si="231">IF(LEN(_xlfn.BASE(AI124,2,8))-9&lt;0,AI124,IF(LEN(_xlfn.BASE(AI124,2,8))-9=0,283,IF(LEN(_xlfn.BASE(AI124,2,8))-9=1,566,IF(LEN(_xlfn.BASE(AI124,2,8))-9=2,1132,IF(LEN(_xlfn.BASE(AI124,2,8))-9=3,2264)))))</f>
        <v>59</v>
      </c>
      <c r="AJ125" s="145">
        <f t="shared" ref="AJ125" ca="1" si="232">IF(LEN(_xlfn.BASE(AJ124,2,8))-9&lt;0,AJ124,IF(LEN(_xlfn.BASE(AJ124,2,8))-9=0,283,IF(LEN(_xlfn.BASE(AJ124,2,8))-9=1,566,IF(LEN(_xlfn.BASE(AJ124,2,8))-9=2,1132,IF(LEN(_xlfn.BASE(AJ124,2,8))-9=3,2264)))))</f>
        <v>245</v>
      </c>
      <c r="AK125" s="145">
        <f t="shared" ref="AK125" ca="1" si="233">IF(LEN(_xlfn.BASE(AK124,2,8))-9&lt;0,AK124,IF(LEN(_xlfn.BASE(AK124,2,8))-9=0,283,IF(LEN(_xlfn.BASE(AK124,2,8))-9=1,566,IF(LEN(_xlfn.BASE(AK124,2,8))-9=2,1132,IF(LEN(_xlfn.BASE(AK124,2,8))-9=3,2264)))))</f>
        <v>227</v>
      </c>
      <c r="AL125" s="93" t="str">
        <f t="shared" ca="1" si="209"/>
        <v>8,8,8,8</v>
      </c>
      <c r="AM125" s="366" t="str">
        <f t="shared" ca="1" si="181"/>
        <v>11011000,00111011,11110101,11100011</v>
      </c>
      <c r="AN125" s="366"/>
      <c r="AO125" s="366"/>
      <c r="AP125" s="178"/>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09"/>
    </row>
    <row r="126" spans="2:63" x14ac:dyDescent="0.25">
      <c r="B126" s="371"/>
      <c r="C126" s="3"/>
      <c r="D126" s="139">
        <f ca="1">IF(_xlfn.BITXOR(D124,D125)=0,D125,_xlfn.BITXOR(D124,D125))</f>
        <v>147</v>
      </c>
      <c r="E126" s="139">
        <f t="shared" ref="E126" ca="1" si="234">IF(_xlfn.BITXOR(E124,E125)=0,E125,_xlfn.BITXOR(E124,E125))</f>
        <v>2</v>
      </c>
      <c r="F126" s="139">
        <f t="shared" ref="F126" ca="1" si="235">IF(_xlfn.BITXOR(F124,F125)=0,F125,_xlfn.BITXOR(F124,F125))</f>
        <v>102</v>
      </c>
      <c r="G126" s="139">
        <f t="shared" ref="G126" ca="1" si="236">IF(_xlfn.BITXOR(G124,G125)=0,G125,_xlfn.BITXOR(G124,G125))</f>
        <v>115</v>
      </c>
      <c r="H126" s="139" t="str">
        <f t="shared" ca="1" si="197"/>
        <v>8,8,8,8</v>
      </c>
      <c r="I126" s="339" t="str">
        <f t="shared" ca="1" si="166"/>
        <v>10010011,00000010,01100110,01110011</v>
      </c>
      <c r="J126" s="339"/>
      <c r="K126" s="339"/>
      <c r="L126" s="139"/>
      <c r="M126" s="3"/>
      <c r="N126" s="139">
        <f ca="1">IF(_xlfn.BITXOR(N124,N125)=0,N125,_xlfn.BITXOR(N124,N125))</f>
        <v>69</v>
      </c>
      <c r="O126" s="139">
        <f t="shared" ref="O126" ca="1" si="237">IF(_xlfn.BITXOR(O124,O125)=0,O125,_xlfn.BITXOR(O124,O125))</f>
        <v>33</v>
      </c>
      <c r="P126" s="139">
        <f t="shared" ref="P126" ca="1" si="238">IF(_xlfn.BITXOR(P124,P125)=0,P125,_xlfn.BITXOR(P124,P125))</f>
        <v>42</v>
      </c>
      <c r="Q126" s="139">
        <f t="shared" ref="Q126" ca="1" si="239">IF(_xlfn.BITXOR(Q124,Q125)=0,Q125,_xlfn.BITXOR(Q124,Q125))</f>
        <v>227</v>
      </c>
      <c r="R126" s="139" t="str">
        <f t="shared" ca="1" si="201"/>
        <v>8,8,8,8</v>
      </c>
      <c r="S126" s="339" t="str">
        <f t="shared" ca="1" si="171"/>
        <v>01000101,00100001,00101010,11100011</v>
      </c>
      <c r="T126" s="339"/>
      <c r="U126" s="339"/>
      <c r="V126" s="139"/>
      <c r="W126" s="3"/>
      <c r="X126" s="139">
        <f ca="1">IF(_xlfn.BITXOR(X124,X125)=0,X125,_xlfn.BITXOR(X124,X125))</f>
        <v>133</v>
      </c>
      <c r="Y126" s="139">
        <f t="shared" ref="Y126" ca="1" si="240">IF(_xlfn.BITXOR(Y124,Y125)=0,Y125,_xlfn.BITXOR(Y124,Y125))</f>
        <v>113</v>
      </c>
      <c r="Z126" s="139">
        <f t="shared" ref="Z126" ca="1" si="241">IF(_xlfn.BITXOR(Z124,Z125)=0,Z125,_xlfn.BITXOR(Z124,Z125))</f>
        <v>17</v>
      </c>
      <c r="AA126" s="139">
        <f t="shared" ref="AA126" ca="1" si="242">IF(_xlfn.BITXOR(AA124,AA125)=0,AA125,_xlfn.BITXOR(AA124,AA125))</f>
        <v>245</v>
      </c>
      <c r="AB126" s="139" t="str">
        <f t="shared" ca="1" si="205"/>
        <v>8,8,8,8</v>
      </c>
      <c r="AC126" s="339" t="str">
        <f t="shared" ca="1" si="176"/>
        <v>10000101,01110001,00010001,11110101</v>
      </c>
      <c r="AD126" s="339"/>
      <c r="AE126" s="339"/>
      <c r="AF126" s="3"/>
      <c r="AG126" s="3"/>
      <c r="AH126" s="139">
        <f ca="1">IF(_xlfn.BITXOR(AH124,AH125)=0,AH125,_xlfn.BITXOR(AH124,AH125))</f>
        <v>216</v>
      </c>
      <c r="AI126" s="139">
        <f t="shared" ref="AI126" ca="1" si="243">IF(_xlfn.BITXOR(AI124,AI125)=0,AI125,_xlfn.BITXOR(AI124,AI125))</f>
        <v>59</v>
      </c>
      <c r="AJ126" s="139">
        <f t="shared" ref="AJ126" ca="1" si="244">IF(_xlfn.BITXOR(AJ124,AJ125)=0,AJ125,_xlfn.BITXOR(AJ124,AJ125))</f>
        <v>245</v>
      </c>
      <c r="AK126" s="139">
        <f t="shared" ref="AK126" ca="1" si="245">IF(_xlfn.BITXOR(AK124,AK125)=0,AK125,_xlfn.BITXOR(AK124,AK125))</f>
        <v>227</v>
      </c>
      <c r="AL126" s="139" t="str">
        <f t="shared" ca="1" si="209"/>
        <v>8,8,8,8</v>
      </c>
      <c r="AM126" s="339" t="str">
        <f t="shared" ca="1" si="181"/>
        <v>11011000,00111011,11110101,11100011</v>
      </c>
      <c r="AN126" s="339"/>
      <c r="AO126" s="339"/>
      <c r="AP126" s="178"/>
      <c r="AQ126" s="109"/>
      <c r="AR126" s="109"/>
      <c r="AS126" s="109"/>
      <c r="AT126" s="109"/>
      <c r="AU126" s="109"/>
      <c r="AV126" s="109"/>
      <c r="AW126" s="109"/>
      <c r="AX126" s="109"/>
      <c r="AY126" s="109"/>
      <c r="AZ126" s="109"/>
      <c r="BA126" s="109"/>
      <c r="BB126" s="109"/>
      <c r="BC126" s="109"/>
      <c r="BD126" s="109"/>
      <c r="BE126" s="109"/>
      <c r="BF126" s="109"/>
      <c r="BG126" s="109"/>
      <c r="BH126" s="109"/>
      <c r="BI126" s="109"/>
      <c r="BJ126" s="109"/>
      <c r="BK126" s="109"/>
    </row>
    <row r="127" spans="2:63" x14ac:dyDescent="0.25">
      <c r="B127" s="177"/>
      <c r="C127" s="3"/>
      <c r="D127" s="370">
        <f ca="1">_xlfn.BITXOR(_xlfn.BITXOR(D126,E126),_xlfn.BITXOR(F126,G126))</f>
        <v>132</v>
      </c>
      <c r="E127" s="370"/>
      <c r="F127" s="370"/>
      <c r="G127" s="370"/>
      <c r="H127" s="321">
        <f ca="1">LEN(_xlfn.BASE(D127,2,8))</f>
        <v>8</v>
      </c>
      <c r="I127" s="370" t="str">
        <f ca="1">_xlfn.BASE(D127,2,8)</f>
        <v>10000100</v>
      </c>
      <c r="J127" s="370"/>
      <c r="K127" s="370"/>
      <c r="L127" s="320"/>
      <c r="M127" s="3"/>
      <c r="N127" s="370">
        <f ca="1">_xlfn.BITXOR(_xlfn.BITXOR(N126,O126),_xlfn.BITXOR(P126,Q126))</f>
        <v>173</v>
      </c>
      <c r="O127" s="370"/>
      <c r="P127" s="370"/>
      <c r="Q127" s="370"/>
      <c r="R127" s="321">
        <f ca="1">LEN(_xlfn.BASE(N127,2,8))</f>
        <v>8</v>
      </c>
      <c r="S127" s="370" t="str">
        <f ca="1">_xlfn.BASE(N127,2,8)</f>
        <v>10101101</v>
      </c>
      <c r="T127" s="370"/>
      <c r="U127" s="370"/>
      <c r="V127" s="320"/>
      <c r="W127" s="3"/>
      <c r="X127" s="370">
        <f ca="1">_xlfn.BITXOR(_xlfn.BITXOR(X126,Y126),_xlfn.BITXOR(Z126,AA126))</f>
        <v>16</v>
      </c>
      <c r="Y127" s="370"/>
      <c r="Z127" s="370"/>
      <c r="AA127" s="370"/>
      <c r="AB127" s="321">
        <f ca="1">LEN(_xlfn.BASE(X127,2,8))</f>
        <v>8</v>
      </c>
      <c r="AC127" s="370" t="str">
        <f ca="1">_xlfn.BASE(X127,2,8)</f>
        <v>00010000</v>
      </c>
      <c r="AD127" s="370"/>
      <c r="AE127" s="370"/>
      <c r="AF127" s="28"/>
      <c r="AG127" s="3"/>
      <c r="AH127" s="370">
        <f ca="1">_xlfn.BITXOR(_xlfn.BITXOR(AH126,AI126),_xlfn.BITXOR(AJ126,AK126))</f>
        <v>245</v>
      </c>
      <c r="AI127" s="370"/>
      <c r="AJ127" s="370"/>
      <c r="AK127" s="370"/>
      <c r="AL127" s="321">
        <f ca="1">LEN(_xlfn.BASE(AH127,2,8))</f>
        <v>8</v>
      </c>
      <c r="AM127" s="370" t="str">
        <f ca="1">_xlfn.BASE(AH127,2,8)</f>
        <v>11110101</v>
      </c>
      <c r="AN127" s="370"/>
      <c r="AO127" s="370"/>
      <c r="AP127" s="178"/>
      <c r="AQ127" s="109"/>
      <c r="AR127" s="109"/>
      <c r="AS127" s="109"/>
      <c r="AT127" s="109"/>
      <c r="AU127" s="109"/>
      <c r="AV127" s="109"/>
      <c r="AW127" s="109"/>
      <c r="AX127" s="109"/>
      <c r="AY127" s="109"/>
      <c r="AZ127" s="109"/>
      <c r="BA127" s="109"/>
      <c r="BB127" s="109"/>
      <c r="BC127" s="109"/>
      <c r="BD127" s="109"/>
      <c r="BE127" s="109"/>
      <c r="BF127" s="109"/>
      <c r="BG127" s="109"/>
      <c r="BH127" s="109"/>
      <c r="BI127" s="109"/>
      <c r="BJ127" s="109"/>
      <c r="BK127" s="109"/>
    </row>
    <row r="128" spans="2:63" x14ac:dyDescent="0.25">
      <c r="B128" s="177"/>
      <c r="C128" s="3"/>
      <c r="D128" s="3"/>
      <c r="E128" s="28"/>
      <c r="F128" s="28"/>
      <c r="G128" s="3"/>
      <c r="H128" s="3"/>
      <c r="I128" s="3"/>
      <c r="J128" s="3"/>
      <c r="K128" s="3"/>
      <c r="L128" s="139"/>
      <c r="M128" s="3"/>
      <c r="N128" s="3"/>
      <c r="O128" s="28"/>
      <c r="P128" s="28"/>
      <c r="Q128" s="3"/>
      <c r="R128" s="3"/>
      <c r="S128" s="3"/>
      <c r="T128" s="3"/>
      <c r="U128" s="3"/>
      <c r="V128" s="139"/>
      <c r="W128" s="3"/>
      <c r="X128" s="3"/>
      <c r="Y128" s="28"/>
      <c r="Z128" s="28"/>
      <c r="AA128" s="3"/>
      <c r="AB128" s="3"/>
      <c r="AC128" s="3"/>
      <c r="AD128" s="3"/>
      <c r="AE128" s="3"/>
      <c r="AF128" s="3"/>
      <c r="AG128" s="3"/>
      <c r="AH128" s="3"/>
      <c r="AI128" s="28"/>
      <c r="AJ128" s="28"/>
      <c r="AK128" s="3"/>
      <c r="AL128" s="3"/>
      <c r="AM128" s="3"/>
      <c r="AN128" s="3"/>
      <c r="AO128" s="3"/>
      <c r="AP128" s="178"/>
      <c r="AQ128" s="109"/>
      <c r="AR128" s="109"/>
      <c r="AS128" s="109"/>
      <c r="AT128" s="109"/>
      <c r="AU128" s="109"/>
      <c r="AV128" s="109"/>
      <c r="AW128" s="109"/>
      <c r="AX128" s="109"/>
      <c r="AY128" s="109"/>
      <c r="AZ128" s="109"/>
      <c r="BA128" s="109"/>
      <c r="BB128" s="109"/>
      <c r="BC128" s="109"/>
      <c r="BD128" s="109"/>
      <c r="BE128" s="109"/>
      <c r="BF128" s="109"/>
      <c r="BG128" s="109"/>
      <c r="BH128" s="109"/>
      <c r="BI128" s="109"/>
      <c r="BJ128" s="109"/>
      <c r="BK128" s="109"/>
    </row>
    <row r="129" spans="2:48" x14ac:dyDescent="0.25">
      <c r="B129" s="181"/>
      <c r="C129" s="3"/>
      <c r="D129" s="3"/>
      <c r="E129" s="3"/>
      <c r="F129" s="3"/>
      <c r="G129" s="3"/>
      <c r="H129" s="3"/>
      <c r="I129" s="3"/>
      <c r="J129" s="3"/>
      <c r="K129" s="3"/>
      <c r="L129" s="139"/>
      <c r="M129" s="3"/>
      <c r="N129" s="3"/>
      <c r="O129" s="3"/>
      <c r="P129" s="3"/>
      <c r="Q129" s="3"/>
      <c r="R129" s="3"/>
      <c r="S129" s="3"/>
      <c r="T129" s="3"/>
      <c r="U129" s="3"/>
      <c r="V129" s="139"/>
      <c r="W129" s="3"/>
      <c r="X129" s="3"/>
      <c r="Y129" s="3"/>
      <c r="Z129" s="3"/>
      <c r="AA129" s="3"/>
      <c r="AB129" s="3"/>
      <c r="AC129" s="3"/>
      <c r="AD129" s="3"/>
      <c r="AE129" s="3"/>
      <c r="AF129" s="3"/>
      <c r="AG129" s="3"/>
      <c r="AH129" s="3"/>
      <c r="AI129" s="3"/>
      <c r="AJ129" s="3"/>
      <c r="AK129" s="3"/>
      <c r="AL129" s="3"/>
      <c r="AM129" s="3"/>
      <c r="AN129" s="3"/>
      <c r="AO129" s="3"/>
      <c r="AP129" s="178"/>
    </row>
    <row r="130" spans="2:48" x14ac:dyDescent="0.25">
      <c r="B130" s="181"/>
      <c r="C130" s="3"/>
      <c r="D130" s="339" t="s">
        <v>59</v>
      </c>
      <c r="E130" s="339"/>
      <c r="F130" s="339"/>
      <c r="G130" s="339"/>
      <c r="H130" s="139" t="s">
        <v>298</v>
      </c>
      <c r="I130" s="339" t="s">
        <v>256</v>
      </c>
      <c r="J130" s="339"/>
      <c r="K130" s="339"/>
      <c r="L130" s="139"/>
      <c r="M130" s="3"/>
      <c r="N130" s="339" t="s">
        <v>63</v>
      </c>
      <c r="O130" s="339"/>
      <c r="P130" s="339"/>
      <c r="Q130" s="339"/>
      <c r="R130" s="139" t="s">
        <v>298</v>
      </c>
      <c r="S130" s="339" t="s">
        <v>256</v>
      </c>
      <c r="T130" s="339"/>
      <c r="U130" s="339"/>
      <c r="V130" s="139"/>
      <c r="W130" s="3"/>
      <c r="X130" s="339" t="s">
        <v>67</v>
      </c>
      <c r="Y130" s="339"/>
      <c r="Z130" s="339"/>
      <c r="AA130" s="339"/>
      <c r="AB130" s="139" t="s">
        <v>298</v>
      </c>
      <c r="AC130" s="339" t="s">
        <v>256</v>
      </c>
      <c r="AD130" s="339"/>
      <c r="AE130" s="339"/>
      <c r="AF130" s="3"/>
      <c r="AG130" s="139"/>
      <c r="AH130" s="339" t="s">
        <v>71</v>
      </c>
      <c r="AI130" s="339"/>
      <c r="AJ130" s="339"/>
      <c r="AK130" s="339"/>
      <c r="AL130" s="139" t="s">
        <v>298</v>
      </c>
      <c r="AM130" s="339" t="s">
        <v>256</v>
      </c>
      <c r="AN130" s="339"/>
      <c r="AO130" s="339"/>
      <c r="AP130" s="178"/>
    </row>
    <row r="131" spans="2:48" x14ac:dyDescent="0.25">
      <c r="B131" s="371" t="s">
        <v>259</v>
      </c>
      <c r="C131" s="3"/>
      <c r="D131" s="322">
        <f ca="1">$E$86</f>
        <v>147</v>
      </c>
      <c r="E131" s="322">
        <f ca="1">$E$87</f>
        <v>2</v>
      </c>
      <c r="F131" s="322">
        <f ca="1">$E$88</f>
        <v>51</v>
      </c>
      <c r="G131" s="322">
        <f ca="1">$E$89</f>
        <v>216</v>
      </c>
      <c r="H131" s="139" t="str">
        <f ca="1">LEN(_xlfn.BASE(D131,2,8))&amp;","&amp;LEN(_xlfn.BASE(E131,2,8))&amp;","&amp;LEN(_xlfn.BASE(F131,2,8))&amp;","&amp;LEN(_xlfn.BASE(G131,2,8))</f>
        <v>8,8,8,8</v>
      </c>
      <c r="I131" s="339" t="str">
        <f ca="1">_xlfn.BASE(D131,2,8)&amp;","&amp;_xlfn.BASE(E131,2,8)&amp;","&amp;_xlfn.BASE(F131,2,8)&amp;","&amp;_xlfn.BASE(G131,2,8)</f>
        <v>10010011,00000010,00110011,11011000</v>
      </c>
      <c r="J131" s="339"/>
      <c r="K131" s="339"/>
      <c r="L131" s="139"/>
      <c r="M131" s="3"/>
      <c r="N131" s="322">
        <f ca="1">$I$86</f>
        <v>69</v>
      </c>
      <c r="O131" s="322">
        <f ca="1">$I$87</f>
        <v>33</v>
      </c>
      <c r="P131" s="322">
        <f ca="1">$I$88</f>
        <v>21</v>
      </c>
      <c r="Q131" s="322">
        <f ca="1">$I$89</f>
        <v>168</v>
      </c>
      <c r="R131" s="139" t="str">
        <f ca="1">LEN(_xlfn.BASE(N131,2,8))&amp;","&amp;LEN(_xlfn.BASE(O131,2,8))&amp;","&amp;LEN(_xlfn.BASE(P131,2,8))&amp;","&amp;LEN(_xlfn.BASE(Q131,2,8))</f>
        <v>8,8,8,8</v>
      </c>
      <c r="S131" s="339" t="str">
        <f ca="1">_xlfn.BASE(N131,2,8)&amp;","&amp;_xlfn.BASE(O131,2,8)&amp;","&amp;_xlfn.BASE(P131,2,8)&amp;","&amp;_xlfn.BASE(Q131,2,8)</f>
        <v>01000101,00100001,00010101,10101000</v>
      </c>
      <c r="T131" s="339"/>
      <c r="U131" s="339"/>
      <c r="V131" s="139"/>
      <c r="W131" s="3"/>
      <c r="X131" s="322">
        <f ca="1">$M$86</f>
        <v>133</v>
      </c>
      <c r="Y131" s="322">
        <f ca="1">$M$87</f>
        <v>113</v>
      </c>
      <c r="Z131" s="322">
        <f ca="1">$M$88</f>
        <v>133</v>
      </c>
      <c r="AA131" s="322">
        <f ca="1">$M$89</f>
        <v>83</v>
      </c>
      <c r="AB131" s="139" t="str">
        <f ca="1">LEN(_xlfn.BASE(X131,2,8))&amp;","&amp;LEN(_xlfn.BASE(Y131,2,8))&amp;","&amp;LEN(_xlfn.BASE(Z131,2,8))&amp;","&amp;LEN(_xlfn.BASE(AA131,2,8))</f>
        <v>8,8,8,8</v>
      </c>
      <c r="AC131" s="339" t="str">
        <f ca="1">_xlfn.BASE(X131,2,8)&amp;","&amp;_xlfn.BASE(Y131,2,8)&amp;","&amp;_xlfn.BASE(Z131,2,8)&amp;","&amp;_xlfn.BASE(AA131,2,8)</f>
        <v>10000101,01110001,10000101,01010011</v>
      </c>
      <c r="AD131" s="339"/>
      <c r="AE131" s="339"/>
      <c r="AF131" s="3"/>
      <c r="AG131" s="3"/>
      <c r="AH131" s="322">
        <f ca="1">$Q$86</f>
        <v>216</v>
      </c>
      <c r="AI131" s="322">
        <f ca="1">$Q$87</f>
        <v>59</v>
      </c>
      <c r="AJ131" s="322">
        <f ca="1">$Q$88</f>
        <v>247</v>
      </c>
      <c r="AK131" s="322">
        <f ca="1">$Q$89</f>
        <v>168</v>
      </c>
      <c r="AL131" s="139" t="str">
        <f ca="1">LEN(_xlfn.BASE(AH131,2,8))&amp;","&amp;LEN(_xlfn.BASE(AI131,2,8))&amp;","&amp;LEN(_xlfn.BASE(AJ131,2,8))&amp;","&amp;LEN(_xlfn.BASE(AK131,2,8))</f>
        <v>8,8,8,8</v>
      </c>
      <c r="AM131" s="339" t="str">
        <f ca="1">_xlfn.BASE(AH131,2,8)&amp;","&amp;_xlfn.BASE(AI131,2,8)&amp;","&amp;_xlfn.BASE(AJ131,2,8)&amp;","&amp;_xlfn.BASE(AK131,2,8)</f>
        <v>11011000,00111011,11110111,10101000</v>
      </c>
      <c r="AN131" s="339"/>
      <c r="AO131" s="339"/>
      <c r="AP131" s="178"/>
    </row>
    <row r="132" spans="2:48" x14ac:dyDescent="0.25">
      <c r="B132" s="371"/>
      <c r="C132" s="139" t="s">
        <v>312</v>
      </c>
      <c r="D132" s="323">
        <v>3</v>
      </c>
      <c r="E132" s="323">
        <v>1</v>
      </c>
      <c r="F132" s="323">
        <v>1</v>
      </c>
      <c r="G132" s="323">
        <v>2</v>
      </c>
      <c r="H132" s="323" t="str">
        <f>LEN(_xlfn.BASE(D132,2,4))&amp;","&amp;LEN(_xlfn.BASE(E132,2,4))&amp;","&amp;LEN(_xlfn.BASE(F132,2,4))&amp;","&amp;LEN(_xlfn.BASE(G132,2,4))</f>
        <v>4,4,4,4</v>
      </c>
      <c r="I132" s="366" t="str">
        <f>_xlfn.BASE(D132,2,4)&amp;","&amp;_xlfn.BASE(E132,2,4)&amp;","&amp;_xlfn.BASE(F132,2,4)&amp;","&amp;_xlfn.BASE(G132,2,4)</f>
        <v>0011,0001,0001,0010</v>
      </c>
      <c r="J132" s="366"/>
      <c r="K132" s="366"/>
      <c r="L132" s="139"/>
      <c r="M132" s="139" t="s">
        <v>312</v>
      </c>
      <c r="N132" s="145">
        <v>3</v>
      </c>
      <c r="O132" s="145">
        <v>1</v>
      </c>
      <c r="P132" s="145">
        <v>1</v>
      </c>
      <c r="Q132" s="145">
        <v>2</v>
      </c>
      <c r="R132" s="323" t="str">
        <f>LEN(_xlfn.BASE(N132,2,4))&amp;","&amp;LEN(_xlfn.BASE(O132,2,4))&amp;","&amp;LEN(_xlfn.BASE(P132,2,4))&amp;","&amp;LEN(_xlfn.BASE(Q132,2,4))</f>
        <v>4,4,4,4</v>
      </c>
      <c r="S132" s="366" t="str">
        <f>_xlfn.BASE(N132,2,4)&amp;","&amp;_xlfn.BASE(O132,2,4)&amp;","&amp;_xlfn.BASE(P132,2,4)&amp;","&amp;_xlfn.BASE(Q132,2,4)</f>
        <v>0011,0001,0001,0010</v>
      </c>
      <c r="T132" s="366"/>
      <c r="U132" s="366"/>
      <c r="V132" s="139"/>
      <c r="W132" s="139" t="s">
        <v>312</v>
      </c>
      <c r="X132" s="145">
        <v>3</v>
      </c>
      <c r="Y132" s="145">
        <v>1</v>
      </c>
      <c r="Z132" s="145">
        <v>1</v>
      </c>
      <c r="AA132" s="145">
        <v>2</v>
      </c>
      <c r="AB132" s="323" t="str">
        <f>LEN(_xlfn.BASE(X132,2,4))&amp;","&amp;LEN(_xlfn.BASE(Y132,2,4))&amp;","&amp;LEN(_xlfn.BASE(Z132,2,4))&amp;","&amp;LEN(_xlfn.BASE(AA132,2,4))</f>
        <v>4,4,4,4</v>
      </c>
      <c r="AC132" s="366" t="str">
        <f>_xlfn.BASE(X132,2,4)&amp;","&amp;_xlfn.BASE(Y132,2,4)&amp;","&amp;_xlfn.BASE(Z132,2,4)&amp;","&amp;_xlfn.BASE(AA132,2,4)</f>
        <v>0011,0001,0001,0010</v>
      </c>
      <c r="AD132" s="366"/>
      <c r="AE132" s="366"/>
      <c r="AF132" s="3"/>
      <c r="AG132" s="139" t="s">
        <v>312</v>
      </c>
      <c r="AH132" s="145">
        <v>3</v>
      </c>
      <c r="AI132" s="145">
        <v>1</v>
      </c>
      <c r="AJ132" s="145">
        <v>1</v>
      </c>
      <c r="AK132" s="145">
        <v>2</v>
      </c>
      <c r="AL132" s="323" t="str">
        <f>LEN(_xlfn.BASE(AH132,2,4))&amp;","&amp;LEN(_xlfn.BASE(AI132,2,4))&amp;","&amp;LEN(_xlfn.BASE(AJ132,2,4))&amp;","&amp;LEN(_xlfn.BASE(AK132,2,4))</f>
        <v>4,4,4,4</v>
      </c>
      <c r="AM132" s="366" t="str">
        <f>_xlfn.BASE(AH132,2,4)&amp;","&amp;_xlfn.BASE(AI132,2,4)&amp;","&amp;_xlfn.BASE(AJ132,2,4)&amp;","&amp;_xlfn.BASE(AK132,2,4)</f>
        <v>0011,0001,0001,0010</v>
      </c>
      <c r="AN132" s="366"/>
      <c r="AO132" s="366"/>
      <c r="AP132" s="178"/>
    </row>
    <row r="133" spans="2:48" x14ac:dyDescent="0.25">
      <c r="B133" s="371" t="s">
        <v>297</v>
      </c>
      <c r="C133" s="3"/>
      <c r="D133" s="139">
        <f ca="1">_xlfn.BITXOR(2*D131,D131)</f>
        <v>437</v>
      </c>
      <c r="E133" s="139">
        <f ca="1">E132*E131</f>
        <v>2</v>
      </c>
      <c r="F133" s="139">
        <f ca="1">F131*F132</f>
        <v>51</v>
      </c>
      <c r="G133" s="139">
        <f ca="1">G131*G132</f>
        <v>432</v>
      </c>
      <c r="H133" s="139" t="str">
        <f ca="1">LEN(_xlfn.BASE(D133,2,8))&amp;","&amp;LEN(_xlfn.BASE(E133,2,8))&amp;","&amp;LEN(_xlfn.BASE(F133,2,8))&amp;","&amp;LEN(_xlfn.BASE(G133,2,8))</f>
        <v>9,8,8,9</v>
      </c>
      <c r="I133" s="339" t="str">
        <f ca="1">_xlfn.BASE(D133,2,8)&amp;","&amp;_xlfn.BASE(E133,2,8)&amp;","&amp;_xlfn.BASE(F133,2,8)&amp;","&amp;_xlfn.BASE(G133,2,8)</f>
        <v>110110101,00000010,00110011,110110000</v>
      </c>
      <c r="J133" s="339"/>
      <c r="K133" s="339"/>
      <c r="L133" s="139"/>
      <c r="M133" s="3"/>
      <c r="N133" s="139">
        <f ca="1">_xlfn.BITXOR(2*N131,N131)</f>
        <v>207</v>
      </c>
      <c r="O133" s="139">
        <f ca="1">O132*O131</f>
        <v>33</v>
      </c>
      <c r="P133" s="139">
        <f ca="1">P131*P132</f>
        <v>21</v>
      </c>
      <c r="Q133" s="139">
        <f ca="1">Q131*Q132</f>
        <v>336</v>
      </c>
      <c r="R133" s="139" t="str">
        <f ca="1">LEN(_xlfn.BASE(N133,2,8))&amp;","&amp;LEN(_xlfn.BASE(O133,2,8))&amp;","&amp;LEN(_xlfn.BASE(P133,2,8))&amp;","&amp;LEN(_xlfn.BASE(Q133,2,8))</f>
        <v>8,8,8,9</v>
      </c>
      <c r="S133" s="339" t="str">
        <f ca="1">_xlfn.BASE(N133,2,8)&amp;","&amp;_xlfn.BASE(O133,2,8)&amp;","&amp;_xlfn.BASE(P133,2,8)&amp;","&amp;_xlfn.BASE(Q133,2,8)</f>
        <v>11001111,00100001,00010101,101010000</v>
      </c>
      <c r="T133" s="339"/>
      <c r="U133" s="339"/>
      <c r="V133" s="139"/>
      <c r="W133" s="3"/>
      <c r="X133" s="139">
        <f ca="1">_xlfn.BITXOR(2*X131,X131)</f>
        <v>399</v>
      </c>
      <c r="Y133" s="139">
        <f ca="1">Y132*Y131</f>
        <v>113</v>
      </c>
      <c r="Z133" s="139">
        <f ca="1">Z131*Z132</f>
        <v>133</v>
      </c>
      <c r="AA133" s="139">
        <f ca="1">AA131*AA132</f>
        <v>166</v>
      </c>
      <c r="AB133" s="139" t="str">
        <f ca="1">LEN(_xlfn.BASE(X133,2,8))&amp;","&amp;LEN(_xlfn.BASE(Y133,2,8))&amp;","&amp;LEN(_xlfn.BASE(Z133,2,8))&amp;","&amp;LEN(_xlfn.BASE(AA133,2,8))</f>
        <v>9,8,8,8</v>
      </c>
      <c r="AC133" s="339" t="str">
        <f ca="1">_xlfn.BASE(X133,2,8)&amp;","&amp;_xlfn.BASE(Y133,2,8)&amp;","&amp;_xlfn.BASE(Z133,2,8)&amp;","&amp;_xlfn.BASE(AA133,2,8)</f>
        <v>110001111,01110001,10000101,10100110</v>
      </c>
      <c r="AD133" s="339"/>
      <c r="AE133" s="339"/>
      <c r="AF133" s="3"/>
      <c r="AG133" s="3"/>
      <c r="AH133" s="139">
        <f ca="1">_xlfn.BITXOR(2*AH131,AH131)</f>
        <v>360</v>
      </c>
      <c r="AI133" s="139">
        <f ca="1">AI132*AI131</f>
        <v>59</v>
      </c>
      <c r="AJ133" s="139">
        <f ca="1">AJ131*AJ132</f>
        <v>247</v>
      </c>
      <c r="AK133" s="139">
        <f ca="1">AK131*AK132</f>
        <v>336</v>
      </c>
      <c r="AL133" s="139" t="str">
        <f ca="1">LEN(_xlfn.BASE(AH133,2,8))&amp;","&amp;LEN(_xlfn.BASE(AI133,2,8))&amp;","&amp;LEN(_xlfn.BASE(AJ133,2,8))&amp;","&amp;LEN(_xlfn.BASE(AK133,2,8))</f>
        <v>9,8,8,9</v>
      </c>
      <c r="AM133" s="339" t="str">
        <f ca="1">_xlfn.BASE(AH133,2,8)&amp;","&amp;_xlfn.BASE(AI133,2,8)&amp;","&amp;_xlfn.BASE(AJ133,2,8)&amp;","&amp;_xlfn.BASE(AK133,2,8)</f>
        <v>101101000,00111011,11110111,101010000</v>
      </c>
      <c r="AN133" s="339"/>
      <c r="AO133" s="339"/>
      <c r="AP133" s="178"/>
    </row>
    <row r="134" spans="2:48" x14ac:dyDescent="0.25">
      <c r="B134" s="371"/>
      <c r="C134" s="145" t="s">
        <v>72</v>
      </c>
      <c r="D134" s="145">
        <f ca="1">IF(VALUE(MID(H133,1,1))-9&lt;0,D133,IF(VALUE(MID(H133,1,1))-9=0,283,IF(VALUE(MID(H133,1,1))-9=1,566,IF(VALUE(MID(H133,1,1))-9=2,1132,IF(VALUE(MID(H133,1,1))-9=3,2264)))))</f>
        <v>283</v>
      </c>
      <c r="E134" s="145">
        <f ca="1">IF(VALUE(MID(H133,3,1))-9&lt;0,E133,IF(VALUE(MID(H133,3,1))-9=0,283,IF(VALUE(MID(H133,3,1))-9=1,566,IF(VALUE(MID(H133,,1))-9=2,1132,IF(VALUE(MID(H133,3,1))-9=3,2264)))))</f>
        <v>2</v>
      </c>
      <c r="F134" s="145">
        <f ca="1">IF(VALUE(MID(H133,5,1))-9&lt;0,F133,IF(VALUE(MID(H133,5,1))-9=0,283,IF(VALUE(MID(H133,5,1))-9=1,566,IF(VALUE(MID(H133,5,1))-9=2,1132,IF(VALUE(MID(H133,5,1))-9=3,2264)))))</f>
        <v>51</v>
      </c>
      <c r="G134" s="145">
        <f ca="1">IF(VALUE(MID(H133,7,1))-9&lt;0,G133,IF(VALUE(MID(H133,7,1))-9=0,283,IF(VALUE(MID(H133,7,1))-9=1,566,IF(VALUE(MID(H133,7,1))-9=2,1132,IF(VALUE(MID(H133,7,1))-9=3,2264)))))</f>
        <v>283</v>
      </c>
      <c r="H134" s="145" t="str">
        <f t="shared" ref="H134" ca="1" si="246">LEN(_xlfn.BASE(D134,2,8))&amp;","&amp;LEN(_xlfn.BASE(E134,2,8))&amp;","&amp;LEN(_xlfn.BASE(F134,2,8))&amp;","&amp;LEN(_xlfn.BASE(G134,2,8))</f>
        <v>9,8,8,9</v>
      </c>
      <c r="I134" s="366" t="str">
        <f t="shared" ref="I134:I139" ca="1" si="247">_xlfn.BASE(D134,2,8)&amp;","&amp;_xlfn.BASE(E134,2,8)&amp;","&amp;_xlfn.BASE(F134,2,8)&amp;","&amp;_xlfn.BASE(G134,2,8)</f>
        <v>100011011,00000010,00110011,100011011</v>
      </c>
      <c r="J134" s="366"/>
      <c r="K134" s="366"/>
      <c r="L134" s="139"/>
      <c r="M134" s="145" t="s">
        <v>72</v>
      </c>
      <c r="N134" s="145">
        <f ca="1">IF(VALUE(MID(R133,1,1))-9&lt;0,N133,IF(VALUE(MID(R133,1,1))-9=0,283,IF(VALUE(MID(R133,1,1))-9=1,566,IF(VALUE(MID(R133,1,1))-9=2,1132,IF(VALUE(MID(R133,1,1))-9=3,2264)))))</f>
        <v>207</v>
      </c>
      <c r="O134" s="145">
        <f ca="1">IF(VALUE(MID(R133,3,1))-9&lt;0,O133,IF(VALUE(MID(R133,3,1))-9=0,283,IF(VALUE(MID(R133,3,1))-9=1,566,IF(VALUE(MID(R133,,1))-9=2,1132,IF(VALUE(MID(R133,3,1))-9=3,2264)))))</f>
        <v>33</v>
      </c>
      <c r="P134" s="145">
        <f ca="1">IF(VALUE(MID(R133,5,1))-9&lt;0,P133,IF(VALUE(MID(R133,5,1))-9=0,283,IF(VALUE(MID(R133,5,1))-9=1,566,IF(VALUE(MID(R133,5,1))-9=2,1132,IF(VALUE(MID(R133,5,1))-9=3,2264)))))</f>
        <v>21</v>
      </c>
      <c r="Q134" s="145">
        <f ca="1">IF(VALUE(MID(R133,7,1))-9&lt;0,Q133,IF(VALUE(MID(R133,7,1))-9=0,283,IF(VALUE(MID(R133,7,1))-9=1,566,IF(VALUE(MID(R133,7,1))-9=2,1132,IF(VALUE(MID(R133,7,1))-9=3,2264)))))</f>
        <v>283</v>
      </c>
      <c r="R134" s="145" t="str">
        <f t="shared" ref="R134" ca="1" si="248">LEN(_xlfn.BASE(N134,2,8))&amp;","&amp;LEN(_xlfn.BASE(O134,2,8))&amp;","&amp;LEN(_xlfn.BASE(P134,2,8))&amp;","&amp;LEN(_xlfn.BASE(Q134,2,8))</f>
        <v>8,8,8,9</v>
      </c>
      <c r="S134" s="366" t="str">
        <f t="shared" ref="S134:S139" ca="1" si="249">_xlfn.BASE(N134,2,8)&amp;","&amp;_xlfn.BASE(O134,2,8)&amp;","&amp;_xlfn.BASE(P134,2,8)&amp;","&amp;_xlfn.BASE(Q134,2,8)</f>
        <v>11001111,00100001,00010101,100011011</v>
      </c>
      <c r="T134" s="366"/>
      <c r="U134" s="366"/>
      <c r="V134" s="139"/>
      <c r="W134" s="145" t="s">
        <v>72</v>
      </c>
      <c r="X134" s="145">
        <f ca="1">IF(VALUE(MID(AB133,1,1))-9&lt;0,X133,IF(VALUE(MID(AB133,1,1))-9=0,283,IF(VALUE(MID(AB133,1,1))-9=1,566,IF(VALUE(MID(AB133,1,1))-9=2,1132,IF(VALUE(MID(AB133,1,1))-9=3,2264)))))</f>
        <v>283</v>
      </c>
      <c r="Y134" s="145">
        <f ca="1">IF(VALUE(MID(AB133,3,1))-9&lt;0,Y133,IF(VALUE(MID(AB133,3,1))-9=0,283,IF(VALUE(MID(AB133,3,1))-9=1,566,IF(VALUE(MID(AB133,,1))-9=2,1132,IF(VALUE(MID(AB133,3,1))-9=3,2264)))))</f>
        <v>113</v>
      </c>
      <c r="Z134" s="145">
        <f ca="1">IF(VALUE(MID(AB133,5,1))-9&lt;0,Z133,IF(VALUE(MID(AB133,5,1))-9=0,283,IF(VALUE(MID(AB133,5,1))-9=1,566,IF(VALUE(MID(AB133,5,1))-9=2,1132,IF(VALUE(MID(AB133,5,1))-9=3,2264)))))</f>
        <v>133</v>
      </c>
      <c r="AA134" s="145">
        <f ca="1">IF(VALUE(MID(AB133,7,1))-9&lt;0,AA133,IF(VALUE(MID(AB133,7,1))-9=0,283,IF(VALUE(MID(AB133,7,1))-9=1,566,IF(VALUE(MID(AB133,7,1))-9=2,1132,IF(VALUE(MID(AB133,7,1))-9=3,2264)))))</f>
        <v>166</v>
      </c>
      <c r="AB134" s="145" t="str">
        <f t="shared" ref="AB134" ca="1" si="250">LEN(_xlfn.BASE(X134,2,8))&amp;","&amp;LEN(_xlfn.BASE(Y134,2,8))&amp;","&amp;LEN(_xlfn.BASE(Z134,2,8))&amp;","&amp;LEN(_xlfn.BASE(AA134,2,8))</f>
        <v>9,8,8,8</v>
      </c>
      <c r="AC134" s="366" t="str">
        <f t="shared" ref="AC134:AC139" ca="1" si="251">_xlfn.BASE(X134,2,8)&amp;","&amp;_xlfn.BASE(Y134,2,8)&amp;","&amp;_xlfn.BASE(Z134,2,8)&amp;","&amp;_xlfn.BASE(AA134,2,8)</f>
        <v>100011011,01110001,10000101,10100110</v>
      </c>
      <c r="AD134" s="366"/>
      <c r="AE134" s="366"/>
      <c r="AF134" s="3"/>
      <c r="AG134" s="145" t="s">
        <v>72</v>
      </c>
      <c r="AH134" s="145">
        <f ca="1">IF(VALUE(MID(AL133,1,1))-9&lt;0,AH133,IF(VALUE(MID(AL133,1,1))-9=0,283,IF(VALUE(MID(AL133,1,1))-9=1,566,IF(VALUE(MID(AL133,1,1))-9=2,1132,IF(VALUE(MID(AL133,1,1))-9=3,2264)))))</f>
        <v>283</v>
      </c>
      <c r="AI134" s="145">
        <f ca="1">IF(VALUE(MID(AL133,3,1))-9&lt;0,AI133,IF(VALUE(MID(AL133,3,1))-9=0,283,IF(VALUE(MID(AL133,3,1))-9=1,566,IF(VALUE(MID(AL133,,1))-9=2,1132,IF(VALUE(MID(AL133,3,1))-9=3,2264)))))</f>
        <v>59</v>
      </c>
      <c r="AJ134" s="145">
        <f ca="1">IF(VALUE(MID(AL133,5,1))-9&lt;0,AJ133,IF(VALUE(MID(AL133,5,1))-9=0,283,IF(VALUE(MID(AL133,5,1))-9=1,566,IF(VALUE(MID(AL133,5,1))-9=2,1132,IF(VALUE(MID(AL133,5,1))-9=3,2264)))))</f>
        <v>247</v>
      </c>
      <c r="AK134" s="145">
        <f ca="1">IF(VALUE(MID(AL133,7,1))-9&lt;0,AK133,IF(VALUE(MID(AL133,7,1))-9=0,283,IF(VALUE(MID(AL133,7,1))-9=1,566,IF(VALUE(MID(AL133,7,1))-9=2,1132,IF(VALUE(MID(AL133,7,1))-9=3,2264)))))</f>
        <v>283</v>
      </c>
      <c r="AL134" s="145" t="str">
        <f t="shared" ref="AL134" ca="1" si="252">LEN(_xlfn.BASE(AH134,2,8))&amp;","&amp;LEN(_xlfn.BASE(AI134,2,8))&amp;","&amp;LEN(_xlfn.BASE(AJ134,2,8))&amp;","&amp;LEN(_xlfn.BASE(AK134,2,8))</f>
        <v>9,8,8,9</v>
      </c>
      <c r="AM134" s="366" t="str">
        <f t="shared" ref="AM134:AM139" ca="1" si="253">_xlfn.BASE(AH134,2,8)&amp;","&amp;_xlfn.BASE(AI134,2,8)&amp;","&amp;_xlfn.BASE(AJ134,2,8)&amp;","&amp;_xlfn.BASE(AK134,2,8)</f>
        <v>100011011,00111011,11110111,100011011</v>
      </c>
      <c r="AN134" s="366"/>
      <c r="AO134" s="366"/>
      <c r="AP134" s="178"/>
    </row>
    <row r="135" spans="2:48" x14ac:dyDescent="0.25">
      <c r="B135" s="371"/>
      <c r="C135" s="139"/>
      <c r="D135" s="139">
        <f ca="1">IF(_xlfn.BITXOR(D133,D134)=0,D133,_xlfn.BITXOR(D133,D134))</f>
        <v>174</v>
      </c>
      <c r="E135" s="139">
        <f t="shared" ref="E135" ca="1" si="254">IF(_xlfn.BITXOR(E133,E134)=0,E133,_xlfn.BITXOR(E133,E134))</f>
        <v>2</v>
      </c>
      <c r="F135" s="139">
        <f t="shared" ref="F135" ca="1" si="255">IF(_xlfn.BITXOR(F133,F134)=0,F133,_xlfn.BITXOR(F133,F134))</f>
        <v>51</v>
      </c>
      <c r="G135" s="139">
        <f t="shared" ref="G135" ca="1" si="256">IF(_xlfn.BITXOR(G133,G134)=0,G133,_xlfn.BITXOR(G133,G134))</f>
        <v>171</v>
      </c>
      <c r="H135" s="139" t="str">
        <f ca="1">LEN(_xlfn.BASE(D135,2,8))&amp;","&amp;LEN(_xlfn.BASE(E135,2,8))&amp;","&amp;LEN(_xlfn.BASE(F135,2,8))&amp;","&amp;LEN(_xlfn.BASE(G135,2,8))</f>
        <v>8,8,8,8</v>
      </c>
      <c r="I135" s="339" t="str">
        <f t="shared" ca="1" si="247"/>
        <v>10101110,00000010,00110011,10101011</v>
      </c>
      <c r="J135" s="339"/>
      <c r="K135" s="339"/>
      <c r="L135" s="139"/>
      <c r="M135" s="139"/>
      <c r="N135" s="139">
        <f ca="1">IF(_xlfn.BITXOR(N133,N134)=0,N133,_xlfn.BITXOR(N133,N134))</f>
        <v>207</v>
      </c>
      <c r="O135" s="139">
        <f t="shared" ref="O135" ca="1" si="257">IF(_xlfn.BITXOR(O133,O134)=0,O133,_xlfn.BITXOR(O133,O134))</f>
        <v>33</v>
      </c>
      <c r="P135" s="139">
        <f t="shared" ref="P135" ca="1" si="258">IF(_xlfn.BITXOR(P133,P134)=0,P133,_xlfn.BITXOR(P133,P134))</f>
        <v>21</v>
      </c>
      <c r="Q135" s="139">
        <f t="shared" ref="Q135" ca="1" si="259">IF(_xlfn.BITXOR(Q133,Q134)=0,Q133,_xlfn.BITXOR(Q133,Q134))</f>
        <v>75</v>
      </c>
      <c r="R135" s="139" t="str">
        <f ca="1">LEN(_xlfn.BASE(N135,2,8))&amp;","&amp;LEN(_xlfn.BASE(O135,2,8))&amp;","&amp;LEN(_xlfn.BASE(P135,2,8))&amp;","&amp;LEN(_xlfn.BASE(Q135,2,8))</f>
        <v>8,8,8,8</v>
      </c>
      <c r="S135" s="339" t="str">
        <f t="shared" ca="1" si="249"/>
        <v>11001111,00100001,00010101,01001011</v>
      </c>
      <c r="T135" s="339"/>
      <c r="U135" s="339"/>
      <c r="V135" s="139"/>
      <c r="W135" s="139"/>
      <c r="X135" s="139">
        <f ca="1">IF(_xlfn.BITXOR(X133,X134)=0,X133,_xlfn.BITXOR(X133,X134))</f>
        <v>148</v>
      </c>
      <c r="Y135" s="139">
        <f t="shared" ref="Y135" ca="1" si="260">IF(_xlfn.BITXOR(Y133,Y134)=0,Y133,_xlfn.BITXOR(Y133,Y134))</f>
        <v>113</v>
      </c>
      <c r="Z135" s="139">
        <f t="shared" ref="Z135" ca="1" si="261">IF(_xlfn.BITXOR(Z133,Z134)=0,Z133,_xlfn.BITXOR(Z133,Z134))</f>
        <v>133</v>
      </c>
      <c r="AA135" s="139">
        <f t="shared" ref="AA135" ca="1" si="262">IF(_xlfn.BITXOR(AA133,AA134)=0,AA133,_xlfn.BITXOR(AA133,AA134))</f>
        <v>166</v>
      </c>
      <c r="AB135" s="139" t="str">
        <f ca="1">LEN(_xlfn.BASE(X135,2,8))&amp;","&amp;LEN(_xlfn.BASE(Y135,2,8))&amp;","&amp;LEN(_xlfn.BASE(Z135,2,8))&amp;","&amp;LEN(_xlfn.BASE(AA135,2,8))</f>
        <v>8,8,8,8</v>
      </c>
      <c r="AC135" s="339" t="str">
        <f t="shared" ca="1" si="251"/>
        <v>10010100,01110001,10000101,10100110</v>
      </c>
      <c r="AD135" s="339"/>
      <c r="AE135" s="339"/>
      <c r="AF135" s="3"/>
      <c r="AG135" s="139"/>
      <c r="AH135" s="139">
        <f ca="1">IF(_xlfn.BITXOR(AH133,AH134)=0,AH133,_xlfn.BITXOR(AH133,AH134))</f>
        <v>115</v>
      </c>
      <c r="AI135" s="139">
        <f t="shared" ref="AI135" ca="1" si="263">IF(_xlfn.BITXOR(AI133,AI134)=0,AI133,_xlfn.BITXOR(AI133,AI134))</f>
        <v>59</v>
      </c>
      <c r="AJ135" s="139">
        <f t="shared" ref="AJ135" ca="1" si="264">IF(_xlfn.BITXOR(AJ133,AJ134)=0,AJ133,_xlfn.BITXOR(AJ133,AJ134))</f>
        <v>247</v>
      </c>
      <c r="AK135" s="139">
        <f t="shared" ref="AK135" ca="1" si="265">IF(_xlfn.BITXOR(AK133,AK134)=0,AK133,_xlfn.BITXOR(AK133,AK134))</f>
        <v>75</v>
      </c>
      <c r="AL135" s="139" t="str">
        <f ca="1">LEN(_xlfn.BASE(AH135,2,8))&amp;","&amp;LEN(_xlfn.BASE(AI135,2,8))&amp;","&amp;LEN(_xlfn.BASE(AJ135,2,8))&amp;","&amp;LEN(_xlfn.BASE(AK135,2,8))</f>
        <v>8,8,8,8</v>
      </c>
      <c r="AM135" s="339" t="str">
        <f t="shared" ca="1" si="253"/>
        <v>01110011,00111011,11110111,01001011</v>
      </c>
      <c r="AN135" s="339"/>
      <c r="AO135" s="339"/>
      <c r="AP135" s="178"/>
      <c r="AQ135" s="28"/>
      <c r="AR135" s="28"/>
      <c r="AS135" s="28"/>
      <c r="AT135" s="28"/>
      <c r="AU135" s="28"/>
      <c r="AV135" s="28"/>
    </row>
    <row r="136" spans="2:48" x14ac:dyDescent="0.25">
      <c r="B136" s="371"/>
      <c r="C136" s="145" t="s">
        <v>72</v>
      </c>
      <c r="D136" s="145">
        <f ca="1">IF(VALUE(MID(H135,1,1))-9&lt;0,D135,IF(VALUE(MID(H135,1,1))-9=0,283,IF(VALUE(MID(H135,1,1))-9=1,566,IF(VALUE(MID(H135,1,1))-9=2,1132,IF(VALUE(MID(H135,1,1))-9=3,2264)))))</f>
        <v>174</v>
      </c>
      <c r="E136" s="145">
        <f ca="1">IF(VALUE(MID(H135,3,1))-9&lt;0,E135,IF(VALUE(MID(H135,3,1))-9=0,283,IF(VALUE(MID(H135,3,1))-9=1,566,IF(VALUE(MID(H135,,1))-9=2,1132,IF(VALUE(MID(H135,3,1))-9=3,2264)))))</f>
        <v>2</v>
      </c>
      <c r="F136" s="145">
        <f ca="1">IF(VALUE(MID(H135,5,1))-9&lt;0,F135,IF(VALUE(MID(H135,5,1))-9=0,283,IF(VALUE(MID(H135,5,1))-9=1,566,IF(VALUE(MID(H135,5,1))-9=2,1132,IF(VALUE(MID(H135,5,1))-9=3,2264)))))</f>
        <v>51</v>
      </c>
      <c r="G136" s="145">
        <f ca="1">IF(VALUE(MID(H135,7,1))-9&lt;0,G135,IF(VALUE(MID(H135,7,1))-9=0,283,IF(VALUE(MID(H135,7,1))-9=1,566,IF(VALUE(MID(H135,7,1))-9=2,1132,IF(VALUE(MID(H135,7,1))-9=3,2264)))))</f>
        <v>171</v>
      </c>
      <c r="H136" s="145" t="str">
        <f t="shared" ref="H136:H139" ca="1" si="266">LEN(_xlfn.BASE(D136,2,8))&amp;","&amp;LEN(_xlfn.BASE(E136,2,8))&amp;","&amp;LEN(_xlfn.BASE(F136,2,8))&amp;","&amp;LEN(_xlfn.BASE(G136,2,8))</f>
        <v>8,8,8,8</v>
      </c>
      <c r="I136" s="366" t="str">
        <f t="shared" ca="1" si="247"/>
        <v>10101110,00000010,00110011,10101011</v>
      </c>
      <c r="J136" s="366"/>
      <c r="K136" s="366"/>
      <c r="L136" s="139"/>
      <c r="M136" s="145" t="s">
        <v>72</v>
      </c>
      <c r="N136" s="145">
        <f ca="1">IF(VALUE(MID(R135,1,1))-9&lt;0,N135,IF(VALUE(MID(R135,1,1))-9=0,283,IF(VALUE(MID(R135,1,1))-9=1,566,IF(VALUE(MID(R135,1,1))-9=2,1132,IF(VALUE(MID(R135,1,1))-9=3,2264)))))</f>
        <v>207</v>
      </c>
      <c r="O136" s="145">
        <f ca="1">IF(VALUE(MID(R135,3,1))-9&lt;0,O135,IF(VALUE(MID(R135,3,1))-9=0,283,IF(VALUE(MID(R135,3,1))-9=1,566,IF(VALUE(MID(R135,,1))-9=2,1132,IF(VALUE(MID(R135,3,1))-9=3,2264)))))</f>
        <v>33</v>
      </c>
      <c r="P136" s="145">
        <f ca="1">IF(VALUE(MID(R135,5,1))-9&lt;0,P135,IF(VALUE(MID(R135,5,1))-9=0,283,IF(VALUE(MID(R135,5,1))-9=1,566,IF(VALUE(MID(R135,5,1))-9=2,1132,IF(VALUE(MID(R135,5,1))-9=3,2264)))))</f>
        <v>21</v>
      </c>
      <c r="Q136" s="145">
        <f ca="1">IF(VALUE(MID(R135,7,1))-9&lt;0,Q135,IF(VALUE(MID(R135,7,1))-9=0,283,IF(VALUE(MID(R135,7,1))-9=1,566,IF(VALUE(MID(R135,7,1))-9=2,1132,IF(VALUE(MID(R135,7,1))-9=3,2264)))))</f>
        <v>75</v>
      </c>
      <c r="R136" s="145" t="str">
        <f t="shared" ref="R136:R139" ca="1" si="267">LEN(_xlfn.BASE(N136,2,8))&amp;","&amp;LEN(_xlfn.BASE(O136,2,8))&amp;","&amp;LEN(_xlfn.BASE(P136,2,8))&amp;","&amp;LEN(_xlfn.BASE(Q136,2,8))</f>
        <v>8,8,8,8</v>
      </c>
      <c r="S136" s="366" t="str">
        <f t="shared" ca="1" si="249"/>
        <v>11001111,00100001,00010101,01001011</v>
      </c>
      <c r="T136" s="366"/>
      <c r="U136" s="366"/>
      <c r="V136" s="139"/>
      <c r="W136" s="145" t="s">
        <v>72</v>
      </c>
      <c r="X136" s="145">
        <f ca="1">IF(VALUE(MID(AB135,1,1))-9&lt;0,X135,IF(VALUE(MID(AB135,1,1))-9=0,283,IF(VALUE(MID(AB135,1,1))-9=1,566,IF(VALUE(MID(AB135,1,1))-9=2,1132,IF(VALUE(MID(AB135,1,1))-9=3,2264)))))</f>
        <v>148</v>
      </c>
      <c r="Y136" s="145">
        <f ca="1">IF(VALUE(MID(AB135,3,1))-9&lt;0,Y135,IF(VALUE(MID(AB135,3,1))-9=0,283,IF(VALUE(MID(AB135,3,1))-9=1,566,IF(VALUE(MID(AB135,,1))-9=2,1132,IF(VALUE(MID(AB135,3,1))-9=3,2264)))))</f>
        <v>113</v>
      </c>
      <c r="Z136" s="145">
        <f ca="1">IF(VALUE(MID(AB135,5,1))-9&lt;0,Z135,IF(VALUE(MID(AB135,5,1))-9=0,283,IF(VALUE(MID(AB135,5,1))-9=1,566,IF(VALUE(MID(AB135,5,1))-9=2,1132,IF(VALUE(MID(AB135,5,1))-9=3,2264)))))</f>
        <v>133</v>
      </c>
      <c r="AA136" s="145">
        <f ca="1">IF(VALUE(MID(AB135,7,1))-9&lt;0,AA135,IF(VALUE(MID(AB135,7,1))-9=0,283,IF(VALUE(MID(AB135,7,1))-9=1,566,IF(VALUE(MID(AB135,7,1))-9=2,1132,IF(VALUE(MID(AB135,7,1))-9=3,2264)))))</f>
        <v>166</v>
      </c>
      <c r="AB136" s="145" t="str">
        <f t="shared" ref="AB136:AB139" ca="1" si="268">LEN(_xlfn.BASE(X136,2,8))&amp;","&amp;LEN(_xlfn.BASE(Y136,2,8))&amp;","&amp;LEN(_xlfn.BASE(Z136,2,8))&amp;","&amp;LEN(_xlfn.BASE(AA136,2,8))</f>
        <v>8,8,8,8</v>
      </c>
      <c r="AC136" s="366" t="str">
        <f t="shared" ca="1" si="251"/>
        <v>10010100,01110001,10000101,10100110</v>
      </c>
      <c r="AD136" s="366"/>
      <c r="AE136" s="366"/>
      <c r="AF136" s="3"/>
      <c r="AG136" s="145" t="s">
        <v>72</v>
      </c>
      <c r="AH136" s="145">
        <f ca="1">IF(VALUE(MID(AL135,1,1))-9&lt;0,AH135,IF(VALUE(MID(AL135,1,1))-9=0,283,IF(VALUE(MID(AL135,1,1))-9=1,566,IF(VALUE(MID(AL135,1,1))-9=2,1132,IF(VALUE(MID(AL135,1,1))-9=3,2264)))))</f>
        <v>115</v>
      </c>
      <c r="AI136" s="145">
        <f ca="1">IF(VALUE(MID(AL135,3,1))-9&lt;0,AI135,IF(VALUE(MID(AL135,3,1))-9=0,283,IF(VALUE(MID(AL135,3,1))-9=1,566,IF(VALUE(MID(AL135,,1))-9=2,1132,IF(VALUE(MID(AL135,3,1))-9=3,2264)))))</f>
        <v>59</v>
      </c>
      <c r="AJ136" s="145">
        <f ca="1">IF(VALUE(MID(AL135,5,1))-9&lt;0,AJ135,IF(VALUE(MID(AL135,5,1))-9=0,283,IF(VALUE(MID(AL135,5,1))-9=1,566,IF(VALUE(MID(AL135,5,1))-9=2,1132,IF(VALUE(MID(AL135,5,1))-9=3,2264)))))</f>
        <v>247</v>
      </c>
      <c r="AK136" s="145">
        <f ca="1">IF(VALUE(MID(AL135,7,1))-9&lt;0,AK135,IF(VALUE(MID(AL135,7,1))-9=0,283,IF(VALUE(MID(AL135,7,1))-9=1,566,IF(VALUE(MID(AL135,7,1))-9=2,1132,IF(VALUE(MID(AL135,7,1))-9=3,2264)))))</f>
        <v>75</v>
      </c>
      <c r="AL136" s="145" t="str">
        <f t="shared" ref="AL136:AL139" ca="1" si="269">LEN(_xlfn.BASE(AH136,2,8))&amp;","&amp;LEN(_xlfn.BASE(AI136,2,8))&amp;","&amp;LEN(_xlfn.BASE(AJ136,2,8))&amp;","&amp;LEN(_xlfn.BASE(AK136,2,8))</f>
        <v>8,8,8,8</v>
      </c>
      <c r="AM136" s="366" t="str">
        <f t="shared" ca="1" si="253"/>
        <v>01110011,00111011,11110111,01001011</v>
      </c>
      <c r="AN136" s="366"/>
      <c r="AO136" s="366"/>
      <c r="AP136" s="182"/>
    </row>
    <row r="137" spans="2:48" x14ac:dyDescent="0.25">
      <c r="B137" s="371"/>
      <c r="C137" s="139"/>
      <c r="D137" s="139">
        <f ca="1">IF(_xlfn.BITXOR(D135,D136)=0,D136,_xlfn.BITXOR(D135,D136))</f>
        <v>174</v>
      </c>
      <c r="E137" s="139">
        <f t="shared" ref="E137" ca="1" si="270">IF(_xlfn.BITXOR(E135,E136)=0,E136,_xlfn.BITXOR(E135,E136))</f>
        <v>2</v>
      </c>
      <c r="F137" s="139">
        <f t="shared" ref="F137" ca="1" si="271">IF(_xlfn.BITXOR(F135,F136)=0,F136,_xlfn.BITXOR(F135,F136))</f>
        <v>51</v>
      </c>
      <c r="G137" s="139">
        <f t="shared" ref="G137" ca="1" si="272">IF(_xlfn.BITXOR(G135,G136)=0,G136,_xlfn.BITXOR(G135,G136))</f>
        <v>171</v>
      </c>
      <c r="H137" s="139" t="str">
        <f t="shared" ca="1" si="266"/>
        <v>8,8,8,8</v>
      </c>
      <c r="I137" s="339" t="str">
        <f t="shared" ca="1" si="247"/>
        <v>10101110,00000010,00110011,10101011</v>
      </c>
      <c r="J137" s="339"/>
      <c r="K137" s="339"/>
      <c r="L137" s="139"/>
      <c r="M137" s="139"/>
      <c r="N137" s="139">
        <f ca="1">IF(_xlfn.BITXOR(N135,N136)=0,N136,_xlfn.BITXOR(N135,N136))</f>
        <v>207</v>
      </c>
      <c r="O137" s="139">
        <f t="shared" ref="O137" ca="1" si="273">IF(_xlfn.BITXOR(O135,O136)=0,O136,_xlfn.BITXOR(O135,O136))</f>
        <v>33</v>
      </c>
      <c r="P137" s="139">
        <f t="shared" ref="P137" ca="1" si="274">IF(_xlfn.BITXOR(P135,P136)=0,P136,_xlfn.BITXOR(P135,P136))</f>
        <v>21</v>
      </c>
      <c r="Q137" s="139">
        <f t="shared" ref="Q137" ca="1" si="275">IF(_xlfn.BITXOR(Q135,Q136)=0,Q136,_xlfn.BITXOR(Q135,Q136))</f>
        <v>75</v>
      </c>
      <c r="R137" s="139" t="str">
        <f t="shared" ca="1" si="267"/>
        <v>8,8,8,8</v>
      </c>
      <c r="S137" s="339" t="str">
        <f t="shared" ca="1" si="249"/>
        <v>11001111,00100001,00010101,01001011</v>
      </c>
      <c r="T137" s="339"/>
      <c r="U137" s="339"/>
      <c r="V137" s="139"/>
      <c r="W137" s="139"/>
      <c r="X137" s="139">
        <f ca="1">IF(_xlfn.BITXOR(X135,X136)=0,X136,_xlfn.BITXOR(X135,X136))</f>
        <v>148</v>
      </c>
      <c r="Y137" s="139">
        <f t="shared" ref="Y137" ca="1" si="276">IF(_xlfn.BITXOR(Y135,Y136)=0,Y136,_xlfn.BITXOR(Y135,Y136))</f>
        <v>113</v>
      </c>
      <c r="Z137" s="139">
        <f t="shared" ref="Z137" ca="1" si="277">IF(_xlfn.BITXOR(Z135,Z136)=0,Z136,_xlfn.BITXOR(Z135,Z136))</f>
        <v>133</v>
      </c>
      <c r="AA137" s="139">
        <f t="shared" ref="AA137" ca="1" si="278">IF(_xlfn.BITXOR(AA135,AA136)=0,AA136,_xlfn.BITXOR(AA135,AA136))</f>
        <v>166</v>
      </c>
      <c r="AB137" s="139" t="str">
        <f t="shared" ca="1" si="268"/>
        <v>8,8,8,8</v>
      </c>
      <c r="AC137" s="339" t="str">
        <f t="shared" ca="1" si="251"/>
        <v>10010100,01110001,10000101,10100110</v>
      </c>
      <c r="AD137" s="339"/>
      <c r="AE137" s="339"/>
      <c r="AF137" s="3"/>
      <c r="AG137" s="139"/>
      <c r="AH137" s="139">
        <f ca="1">IF(_xlfn.BITXOR(AH135,AH136)=0,AH136,_xlfn.BITXOR(AH135,AH136))</f>
        <v>115</v>
      </c>
      <c r="AI137" s="139">
        <f t="shared" ref="AI137" ca="1" si="279">IF(_xlfn.BITXOR(AI135,AI136)=0,AI136,_xlfn.BITXOR(AI135,AI136))</f>
        <v>59</v>
      </c>
      <c r="AJ137" s="139">
        <f t="shared" ref="AJ137" ca="1" si="280">IF(_xlfn.BITXOR(AJ135,AJ136)=0,AJ136,_xlfn.BITXOR(AJ135,AJ136))</f>
        <v>247</v>
      </c>
      <c r="AK137" s="139">
        <f t="shared" ref="AK137" ca="1" si="281">IF(_xlfn.BITXOR(AK135,AK136)=0,AK136,_xlfn.BITXOR(AK135,AK136))</f>
        <v>75</v>
      </c>
      <c r="AL137" s="139" t="str">
        <f t="shared" ca="1" si="269"/>
        <v>8,8,8,8</v>
      </c>
      <c r="AM137" s="339" t="str">
        <f t="shared" ca="1" si="253"/>
        <v>01110011,00111011,11110111,01001011</v>
      </c>
      <c r="AN137" s="339"/>
      <c r="AO137" s="339"/>
      <c r="AP137" s="178"/>
    </row>
    <row r="138" spans="2:48" x14ac:dyDescent="0.25">
      <c r="B138" s="371"/>
      <c r="C138" s="93" t="s">
        <v>72</v>
      </c>
      <c r="D138" s="93">
        <f ca="1">IF(VALUE(MID(H137,1,1))-9&lt;0,D137,IF(VALUE(MID(H137,1,1))-9=0,283,IF(VALUE(MID(H137,1,1))-9=1,566,IF(VALUE(MID(H137,1,1))-9=2,1132,IF(VALUE(MID(H137,1,1))-9=3,2264)))))</f>
        <v>174</v>
      </c>
      <c r="E138" s="93">
        <f ca="1">IF(VALUE(MID(H137,3,1))-9&lt;0,E137,IF(VALUE(MID(H137,3,1))-9=0,283,IF(VALUE(MID(H137,3,1))-9=1,566,IF(VALUE(MID(H137,,1))-9=2,1132,IF(VALUE(MID(H137,3,1))-9=3,2264)))))</f>
        <v>2</v>
      </c>
      <c r="F138" s="93">
        <f ca="1">IF(VALUE(MID(H137,5,1))-9&lt;0,F137,IF(VALUE(MID(H137,5,1))-9=0,283,IF(VALUE(MID(H137,5,1))-9=1,566,IF(VALUE(MID(H137,5,1))-9=2,1132,IF(VALUE(MID(H137,5,1))-9=3,2264)))))</f>
        <v>51</v>
      </c>
      <c r="G138" s="93">
        <f ca="1">IF(VALUE(MID(H137,7,1))-9&lt;0,G137,IF(VALUE(MID(H137,7,1))-9=0,283,IF(VALUE(MID(H137,7,1))-9=1,566,IF(VALUE(MID(H137,7,1))-9=2,1132,IF(VALUE(MID(H137,7,1))-9=3,2264)))))</f>
        <v>171</v>
      </c>
      <c r="H138" s="93" t="str">
        <f t="shared" ca="1" si="266"/>
        <v>8,8,8,8</v>
      </c>
      <c r="I138" s="366" t="str">
        <f t="shared" ca="1" si="247"/>
        <v>10101110,00000010,00110011,10101011</v>
      </c>
      <c r="J138" s="366"/>
      <c r="K138" s="366"/>
      <c r="L138" s="139"/>
      <c r="M138" s="93" t="s">
        <v>72</v>
      </c>
      <c r="N138" s="93">
        <f ca="1">IF(VALUE(MID(R137,1,1))-9&lt;0,N137,IF(VALUE(MID(R137,1,1))-9=0,283,IF(VALUE(MID(R137,1,1))-9=1,566,IF(VALUE(MID(R137,1,1))-9=2,1132,IF(VALUE(MID(R137,1,1))-9=3,2264)))))</f>
        <v>207</v>
      </c>
      <c r="O138" s="93">
        <f ca="1">IF(VALUE(MID(R137,3,1))-9&lt;0,O137,IF(VALUE(MID(R137,3,1))-9=0,283,IF(VALUE(MID(R137,3,1))-9=1,566,IF(VALUE(MID(R137,,1))-9=2,1132,IF(VALUE(MID(R137,3,1))-9=3,2264)))))</f>
        <v>33</v>
      </c>
      <c r="P138" s="93">
        <f ca="1">IF(VALUE(MID(R137,5,1))-9&lt;0,P137,IF(VALUE(MID(R137,5,1))-9=0,283,IF(VALUE(MID(R137,5,1))-9=1,566,IF(VALUE(MID(R137,5,1))-9=2,1132,IF(VALUE(MID(R137,5,1))-9=3,2264)))))</f>
        <v>21</v>
      </c>
      <c r="Q138" s="93">
        <f ca="1">IF(VALUE(MID(R137,7,1))-9&lt;0,Q137,IF(VALUE(MID(R137,7,1))-9=0,283,IF(VALUE(MID(R137,7,1))-9=1,566,IF(VALUE(MID(R137,7,1))-9=2,1132,IF(VALUE(MID(R137,7,1))-9=3,2264)))))</f>
        <v>75</v>
      </c>
      <c r="R138" s="93" t="str">
        <f t="shared" ca="1" si="267"/>
        <v>8,8,8,8</v>
      </c>
      <c r="S138" s="366" t="str">
        <f t="shared" ca="1" si="249"/>
        <v>11001111,00100001,00010101,01001011</v>
      </c>
      <c r="T138" s="366"/>
      <c r="U138" s="366"/>
      <c r="V138" s="139"/>
      <c r="W138" s="93" t="s">
        <v>72</v>
      </c>
      <c r="X138" s="93">
        <f ca="1">IF(VALUE(MID(AB137,1,1))-9&lt;0,X137,IF(VALUE(MID(AB137,1,1))-9=0,283,IF(VALUE(MID(AB137,1,1))-9=1,566,IF(VALUE(MID(AB137,1,1))-9=2,1132,IF(VALUE(MID(AB137,1,1))-9=3,2264)))))</f>
        <v>148</v>
      </c>
      <c r="Y138" s="93">
        <f ca="1">IF(VALUE(MID(AB137,3,1))-9&lt;0,Y137,IF(VALUE(MID(AB137,3,1))-9=0,283,IF(VALUE(MID(AB137,3,1))-9=1,566,IF(VALUE(MID(AB137,,1))-9=2,1132,IF(VALUE(MID(AB137,3,1))-9=3,2264)))))</f>
        <v>113</v>
      </c>
      <c r="Z138" s="93">
        <f ca="1">IF(VALUE(MID(AB137,5,1))-9&lt;0,Z137,IF(VALUE(MID(AB137,5,1))-9=0,283,IF(VALUE(MID(AB137,5,1))-9=1,566,IF(VALUE(MID(AB137,5,1))-9=2,1132,IF(VALUE(MID(AB137,5,1))-9=3,2264)))))</f>
        <v>133</v>
      </c>
      <c r="AA138" s="93">
        <f ca="1">IF(VALUE(MID(AB137,7,1))-9&lt;0,AA137,IF(VALUE(MID(AB137,7,1))-9=0,283,IF(VALUE(MID(AB137,7,1))-9=1,566,IF(VALUE(MID(AB137,7,1))-9=2,1132,IF(VALUE(MID(AB137,7,1))-9=3,2264)))))</f>
        <v>166</v>
      </c>
      <c r="AB138" s="93" t="str">
        <f t="shared" ca="1" si="268"/>
        <v>8,8,8,8</v>
      </c>
      <c r="AC138" s="366" t="str">
        <f t="shared" ca="1" si="251"/>
        <v>10010100,01110001,10000101,10100110</v>
      </c>
      <c r="AD138" s="366"/>
      <c r="AE138" s="366"/>
      <c r="AF138" s="3"/>
      <c r="AG138" s="93" t="s">
        <v>72</v>
      </c>
      <c r="AH138" s="93">
        <f ca="1">IF(VALUE(MID(AL137,1,1))-9&lt;0,AH137,IF(VALUE(MID(AL137,1,1))-9=0,283,IF(VALUE(MID(AL137,1,1))-9=1,566,IF(VALUE(MID(AL137,1,1))-9=2,1132,IF(VALUE(MID(AL137,1,1))-9=3,2264)))))</f>
        <v>115</v>
      </c>
      <c r="AI138" s="93">
        <f ca="1">IF(VALUE(MID(AL137,3,1))-9&lt;0,AI137,IF(VALUE(MID(AL137,3,1))-9=0,283,IF(VALUE(MID(AL137,3,1))-9=1,566,IF(VALUE(MID(AL137,,1))-9=2,1132,IF(VALUE(MID(AL137,3,1))-9=3,2264)))))</f>
        <v>59</v>
      </c>
      <c r="AJ138" s="93">
        <f ca="1">IF(VALUE(MID(AL137,5,1))-9&lt;0,AJ137,IF(VALUE(MID(AL137,5,1))-9=0,283,IF(VALUE(MID(AL137,5,1))-9=1,566,IF(VALUE(MID(AL137,5,1))-9=2,1132,IF(VALUE(MID(AL137,5,1))-9=3,2264)))))</f>
        <v>247</v>
      </c>
      <c r="AK138" s="93">
        <f ca="1">IF(VALUE(MID(AL137,7,1))-9&lt;0,AK137,IF(VALUE(MID(AL137,7,1))-9=0,283,IF(VALUE(MID(AL137,7,1))-9=1,566,IF(VALUE(MID(AL137,7,1))-9=2,1132,IF(VALUE(MID(AL137,7,1))-9=3,2264)))))</f>
        <v>75</v>
      </c>
      <c r="AL138" s="93" t="str">
        <f t="shared" ca="1" si="269"/>
        <v>8,8,8,8</v>
      </c>
      <c r="AM138" s="366" t="str">
        <f t="shared" ca="1" si="253"/>
        <v>01110011,00111011,11110111,01001011</v>
      </c>
      <c r="AN138" s="366"/>
      <c r="AO138" s="366"/>
      <c r="AP138" s="178"/>
    </row>
    <row r="139" spans="2:48" x14ac:dyDescent="0.25">
      <c r="B139" s="371"/>
      <c r="C139" s="3"/>
      <c r="D139" s="139">
        <f ca="1">IF(_xlfn.BITXOR(D137,D138)=0,D138,_xlfn.BITXOR(D137,D138))</f>
        <v>174</v>
      </c>
      <c r="E139" s="139">
        <f t="shared" ref="E139" ca="1" si="282">IF(_xlfn.BITXOR(E137,E138)=0,E138,_xlfn.BITXOR(E137,E138))</f>
        <v>2</v>
      </c>
      <c r="F139" s="139">
        <f t="shared" ref="F139" ca="1" si="283">IF(_xlfn.BITXOR(F137,F138)=0,F138,_xlfn.BITXOR(F137,F138))</f>
        <v>51</v>
      </c>
      <c r="G139" s="139">
        <f t="shared" ref="G139" ca="1" si="284">IF(_xlfn.BITXOR(G137,G138)=0,G138,_xlfn.BITXOR(G137,G138))</f>
        <v>171</v>
      </c>
      <c r="H139" s="139" t="str">
        <f t="shared" ca="1" si="266"/>
        <v>8,8,8,8</v>
      </c>
      <c r="I139" s="339" t="str">
        <f t="shared" ca="1" si="247"/>
        <v>10101110,00000010,00110011,10101011</v>
      </c>
      <c r="J139" s="339"/>
      <c r="K139" s="339"/>
      <c r="L139" s="139"/>
      <c r="M139" s="3"/>
      <c r="N139" s="139">
        <f ca="1">IF(_xlfn.BITXOR(N137,N138)=0,N138,_xlfn.BITXOR(N137,N138))</f>
        <v>207</v>
      </c>
      <c r="O139" s="139">
        <f t="shared" ref="O139" ca="1" si="285">IF(_xlfn.BITXOR(O137,O138)=0,O138,_xlfn.BITXOR(O137,O138))</f>
        <v>33</v>
      </c>
      <c r="P139" s="139">
        <f t="shared" ref="P139" ca="1" si="286">IF(_xlfn.BITXOR(P137,P138)=0,P138,_xlfn.BITXOR(P137,P138))</f>
        <v>21</v>
      </c>
      <c r="Q139" s="139">
        <f t="shared" ref="Q139" ca="1" si="287">IF(_xlfn.BITXOR(Q137,Q138)=0,Q138,_xlfn.BITXOR(Q137,Q138))</f>
        <v>75</v>
      </c>
      <c r="R139" s="139" t="str">
        <f t="shared" ca="1" si="267"/>
        <v>8,8,8,8</v>
      </c>
      <c r="S139" s="339" t="str">
        <f t="shared" ca="1" si="249"/>
        <v>11001111,00100001,00010101,01001011</v>
      </c>
      <c r="T139" s="339"/>
      <c r="U139" s="339"/>
      <c r="V139" s="139"/>
      <c r="W139" s="3"/>
      <c r="X139" s="139">
        <f ca="1">IF(_xlfn.BITXOR(X137,X138)=0,X138,_xlfn.BITXOR(X137,X138))</f>
        <v>148</v>
      </c>
      <c r="Y139" s="139">
        <f t="shared" ref="Y139" ca="1" si="288">IF(_xlfn.BITXOR(Y137,Y138)=0,Y138,_xlfn.BITXOR(Y137,Y138))</f>
        <v>113</v>
      </c>
      <c r="Z139" s="139">
        <f t="shared" ref="Z139" ca="1" si="289">IF(_xlfn.BITXOR(Z137,Z138)=0,Z138,_xlfn.BITXOR(Z137,Z138))</f>
        <v>133</v>
      </c>
      <c r="AA139" s="139">
        <f t="shared" ref="AA139" ca="1" si="290">IF(_xlfn.BITXOR(AA137,AA138)=0,AA138,_xlfn.BITXOR(AA137,AA138))</f>
        <v>166</v>
      </c>
      <c r="AB139" s="139" t="str">
        <f t="shared" ca="1" si="268"/>
        <v>8,8,8,8</v>
      </c>
      <c r="AC139" s="339" t="str">
        <f t="shared" ca="1" si="251"/>
        <v>10010100,01110001,10000101,10100110</v>
      </c>
      <c r="AD139" s="339"/>
      <c r="AE139" s="339"/>
      <c r="AF139" s="3"/>
      <c r="AG139" s="3"/>
      <c r="AH139" s="139">
        <f ca="1">IF(_xlfn.BITXOR(AH137,AH138)=0,AH138,_xlfn.BITXOR(AH137,AH138))</f>
        <v>115</v>
      </c>
      <c r="AI139" s="139">
        <f t="shared" ref="AI139" ca="1" si="291">IF(_xlfn.BITXOR(AI137,AI138)=0,AI138,_xlfn.BITXOR(AI137,AI138))</f>
        <v>59</v>
      </c>
      <c r="AJ139" s="139">
        <f t="shared" ref="AJ139" ca="1" si="292">IF(_xlfn.BITXOR(AJ137,AJ138)=0,AJ138,_xlfn.BITXOR(AJ137,AJ138))</f>
        <v>247</v>
      </c>
      <c r="AK139" s="139">
        <f t="shared" ref="AK139" ca="1" si="293">IF(_xlfn.BITXOR(AK137,AK138)=0,AK138,_xlfn.BITXOR(AK137,AK138))</f>
        <v>75</v>
      </c>
      <c r="AL139" s="139" t="str">
        <f t="shared" ca="1" si="269"/>
        <v>8,8,8,8</v>
      </c>
      <c r="AM139" s="339" t="str">
        <f t="shared" ca="1" si="253"/>
        <v>01110011,00111011,11110111,01001011</v>
      </c>
      <c r="AN139" s="339"/>
      <c r="AO139" s="339"/>
      <c r="AP139" s="178"/>
    </row>
    <row r="140" spans="2:48" x14ac:dyDescent="0.25">
      <c r="B140" s="177"/>
      <c r="C140" s="3"/>
      <c r="D140" s="370">
        <f ca="1">_xlfn.BITXOR(_xlfn.BITXOR(D139,E139),_xlfn.BITXOR(F139,G139))</f>
        <v>52</v>
      </c>
      <c r="E140" s="370"/>
      <c r="F140" s="370"/>
      <c r="G140" s="370"/>
      <c r="H140" s="321">
        <f ca="1">LEN(_xlfn.BASE(D140,2,8))</f>
        <v>8</v>
      </c>
      <c r="I140" s="370" t="str">
        <f ca="1">_xlfn.BASE(D140,2,8)</f>
        <v>00110100</v>
      </c>
      <c r="J140" s="370"/>
      <c r="K140" s="370"/>
      <c r="L140" s="320"/>
      <c r="M140" s="3"/>
      <c r="N140" s="370">
        <f ca="1">_xlfn.BITXOR(_xlfn.BITXOR(N139,O139),_xlfn.BITXOR(P139,Q139))</f>
        <v>176</v>
      </c>
      <c r="O140" s="370"/>
      <c r="P140" s="370"/>
      <c r="Q140" s="370"/>
      <c r="R140" s="321">
        <f ca="1">LEN(_xlfn.BASE(N140,2,8))</f>
        <v>8</v>
      </c>
      <c r="S140" s="370" t="str">
        <f ca="1">_xlfn.BASE(N140,2,8)</f>
        <v>10110000</v>
      </c>
      <c r="T140" s="370"/>
      <c r="U140" s="370"/>
      <c r="V140" s="320"/>
      <c r="W140" s="3"/>
      <c r="X140" s="370">
        <f ca="1">_xlfn.BITXOR(_xlfn.BITXOR(X139,Y139),_xlfn.BITXOR(Z139,AA139))</f>
        <v>198</v>
      </c>
      <c r="Y140" s="370"/>
      <c r="Z140" s="370"/>
      <c r="AA140" s="370"/>
      <c r="AB140" s="321">
        <f ca="1">LEN(_xlfn.BASE(X140,2,8))</f>
        <v>8</v>
      </c>
      <c r="AC140" s="370" t="str">
        <f ca="1">_xlfn.BASE(X140,2,8)</f>
        <v>11000110</v>
      </c>
      <c r="AD140" s="370"/>
      <c r="AE140" s="370"/>
      <c r="AF140" s="28"/>
      <c r="AG140" s="3"/>
      <c r="AH140" s="370">
        <f ca="1">_xlfn.BITXOR(_xlfn.BITXOR(AH139,AI139),_xlfn.BITXOR(AJ139,AK139))</f>
        <v>244</v>
      </c>
      <c r="AI140" s="370"/>
      <c r="AJ140" s="370"/>
      <c r="AK140" s="370"/>
      <c r="AL140" s="321">
        <f ca="1">LEN(_xlfn.BASE(AH140,2,8))</f>
        <v>8</v>
      </c>
      <c r="AM140" s="370" t="str">
        <f ca="1">_xlfn.BASE(AH140,2,8)</f>
        <v>11110100</v>
      </c>
      <c r="AN140" s="370"/>
      <c r="AO140" s="370"/>
      <c r="AP140" s="178"/>
    </row>
    <row r="141" spans="2:48" x14ac:dyDescent="0.25">
      <c r="B141" s="177"/>
      <c r="C141" s="3"/>
      <c r="D141" s="3"/>
      <c r="E141" s="28"/>
      <c r="F141" s="28"/>
      <c r="G141" s="3"/>
      <c r="H141" s="3"/>
      <c r="I141" s="3"/>
      <c r="J141" s="3"/>
      <c r="K141" s="3"/>
      <c r="L141" s="3"/>
      <c r="M141" s="3"/>
      <c r="N141" s="3"/>
      <c r="O141" s="28"/>
      <c r="P141" s="28"/>
      <c r="Q141" s="3"/>
      <c r="R141" s="3"/>
      <c r="S141" s="3"/>
      <c r="T141" s="3"/>
      <c r="U141" s="3"/>
      <c r="V141" s="3"/>
      <c r="W141" s="3"/>
      <c r="X141" s="3"/>
      <c r="Y141" s="28"/>
      <c r="Z141" s="28"/>
      <c r="AA141" s="3"/>
      <c r="AB141" s="3"/>
      <c r="AC141" s="3"/>
      <c r="AD141" s="3"/>
      <c r="AE141" s="3"/>
      <c r="AF141" s="3"/>
      <c r="AG141" s="3"/>
      <c r="AH141" s="3"/>
      <c r="AI141" s="28"/>
      <c r="AJ141" s="28"/>
      <c r="AK141" s="3"/>
      <c r="AL141" s="3"/>
      <c r="AM141" s="3"/>
      <c r="AN141" s="3"/>
      <c r="AO141" s="3"/>
      <c r="AP141" s="178"/>
    </row>
    <row r="142" spans="2:48" ht="15.75" thickBot="1" x14ac:dyDescent="0.3">
      <c r="B142" s="177"/>
      <c r="C142" s="3"/>
      <c r="D142" s="3"/>
      <c r="E142" s="3"/>
      <c r="F142" s="3"/>
      <c r="G142" s="3"/>
      <c r="H142" s="339" t="s">
        <v>256</v>
      </c>
      <c r="I142" s="339"/>
      <c r="J142" s="339"/>
      <c r="K142" s="339"/>
      <c r="L142" s="3"/>
      <c r="M142" s="339" t="s">
        <v>257</v>
      </c>
      <c r="N142" s="339"/>
      <c r="O142" s="339"/>
      <c r="P142" s="339"/>
      <c r="Q142" s="3"/>
      <c r="R142" s="337" t="s">
        <v>258</v>
      </c>
      <c r="S142" s="339"/>
      <c r="T142" s="339"/>
      <c r="U142" s="337"/>
      <c r="V142" s="3"/>
      <c r="W142" s="3"/>
      <c r="X142" s="3"/>
      <c r="Y142" s="3"/>
      <c r="Z142" s="3"/>
      <c r="AA142" s="3"/>
      <c r="AB142" s="3"/>
      <c r="AC142" s="3"/>
      <c r="AD142" s="3"/>
      <c r="AE142" s="3"/>
      <c r="AF142" s="3"/>
      <c r="AG142" s="3"/>
      <c r="AH142" s="3"/>
      <c r="AI142" s="3"/>
      <c r="AJ142" s="3"/>
      <c r="AK142" s="3"/>
      <c r="AL142" s="3"/>
      <c r="AM142" s="3"/>
      <c r="AN142" s="3"/>
      <c r="AO142" s="3"/>
      <c r="AP142" s="178"/>
    </row>
    <row r="143" spans="2:48" x14ac:dyDescent="0.25">
      <c r="B143" s="183"/>
      <c r="C143" s="8" t="s">
        <v>56</v>
      </c>
      <c r="D143" s="139" t="s">
        <v>60</v>
      </c>
      <c r="E143" s="139" t="s">
        <v>64</v>
      </c>
      <c r="F143" s="11" t="s">
        <v>68</v>
      </c>
      <c r="G143" s="4"/>
      <c r="H143" s="8" t="str">
        <f ca="1">_xlfn.BASE(M143,2,8)</f>
        <v>11010000</v>
      </c>
      <c r="I143" s="139" t="str">
        <f t="shared" ref="H143:K146" ca="1" si="294">_xlfn.BASE(N143,2,8)</f>
        <v>01010100</v>
      </c>
      <c r="J143" s="139" t="str">
        <f t="shared" ca="1" si="294"/>
        <v>01010100</v>
      </c>
      <c r="K143" s="11" t="str">
        <f t="shared" ca="1" si="294"/>
        <v>10111001</v>
      </c>
      <c r="L143" s="4"/>
      <c r="M143" s="8">
        <f ca="1">D101</f>
        <v>208</v>
      </c>
      <c r="N143" s="139">
        <f ca="1">N101</f>
        <v>84</v>
      </c>
      <c r="O143" s="139">
        <f ca="1">X101</f>
        <v>84</v>
      </c>
      <c r="P143" s="11">
        <f ca="1">AH101</f>
        <v>185</v>
      </c>
      <c r="Q143" s="3"/>
      <c r="R143" s="8" t="str">
        <f ca="1">_xlfn.BASE(M143,16,2)</f>
        <v>D0</v>
      </c>
      <c r="S143" s="139" t="str">
        <f t="shared" ref="S143:S146" ca="1" si="295">_xlfn.BASE(N143,16,2)</f>
        <v>54</v>
      </c>
      <c r="T143" s="139" t="str">
        <f t="shared" ref="T143:T146" ca="1" si="296">_xlfn.BASE(O143,16,2)</f>
        <v>54</v>
      </c>
      <c r="U143" s="11" t="str">
        <f t="shared" ref="U143:U146" ca="1" si="297">_xlfn.BASE(P143,16,2)</f>
        <v>B9</v>
      </c>
      <c r="V143" s="3"/>
      <c r="W143" s="3"/>
      <c r="X143" s="3"/>
      <c r="Y143" s="3"/>
      <c r="Z143" s="3"/>
      <c r="AA143" s="3"/>
      <c r="AB143" s="3"/>
      <c r="AC143" s="3"/>
      <c r="AD143" s="3"/>
      <c r="AE143" s="3"/>
      <c r="AF143" s="3"/>
      <c r="AG143" s="3"/>
      <c r="AH143" s="3"/>
      <c r="AI143" s="3"/>
      <c r="AJ143" s="3"/>
      <c r="AK143" s="3"/>
      <c r="AL143" s="3"/>
      <c r="AM143" s="3"/>
      <c r="AN143" s="3"/>
      <c r="AO143" s="3"/>
      <c r="AP143" s="178"/>
    </row>
    <row r="144" spans="2:48" ht="21" x14ac:dyDescent="0.35">
      <c r="B144" s="183"/>
      <c r="C144" s="139" t="s">
        <v>57</v>
      </c>
      <c r="D144" s="139" t="s">
        <v>61</v>
      </c>
      <c r="E144" s="139" t="s">
        <v>65</v>
      </c>
      <c r="F144" s="88" t="s">
        <v>69</v>
      </c>
      <c r="G144" s="21" t="s">
        <v>8</v>
      </c>
      <c r="H144" s="139" t="str">
        <f t="shared" ca="1" si="294"/>
        <v>00011010</v>
      </c>
      <c r="I144" s="139" t="str">
        <f t="shared" ca="1" si="294"/>
        <v>10010000</v>
      </c>
      <c r="J144" s="139" t="str">
        <f t="shared" ca="1" si="294"/>
        <v>10100000</v>
      </c>
      <c r="K144" s="88" t="str">
        <f t="shared" ca="1" si="294"/>
        <v>00000100</v>
      </c>
      <c r="L144" s="22" t="s">
        <v>8</v>
      </c>
      <c r="M144" s="139">
        <f ca="1">D114</f>
        <v>26</v>
      </c>
      <c r="N144" s="139">
        <f ca="1">N114</f>
        <v>144</v>
      </c>
      <c r="O144" s="139">
        <f ca="1">X114</f>
        <v>160</v>
      </c>
      <c r="P144" s="88">
        <f ca="1">AH114</f>
        <v>4</v>
      </c>
      <c r="Q144" s="44" t="s">
        <v>8</v>
      </c>
      <c r="R144" s="139" t="str">
        <f ca="1">_xlfn.BASE(M144,16,2)</f>
        <v>1A</v>
      </c>
      <c r="S144" s="139" t="str">
        <f t="shared" ca="1" si="295"/>
        <v>90</v>
      </c>
      <c r="T144" s="139" t="str">
        <f t="shared" ca="1" si="296"/>
        <v>A0</v>
      </c>
      <c r="U144" s="88" t="str">
        <f t="shared" ca="1" si="297"/>
        <v>04</v>
      </c>
      <c r="V144" s="3"/>
      <c r="W144" s="3"/>
      <c r="X144" s="3"/>
      <c r="Y144" s="3"/>
      <c r="Z144" s="3"/>
      <c r="AA144" s="3"/>
      <c r="AB144" s="3"/>
      <c r="AC144" s="3"/>
      <c r="AD144" s="3"/>
      <c r="AE144" s="3"/>
      <c r="AF144" s="3"/>
      <c r="AG144" s="3"/>
      <c r="AH144" s="3"/>
      <c r="AI144" s="3"/>
      <c r="AJ144" s="3"/>
      <c r="AK144" s="3"/>
      <c r="AL144" s="3"/>
      <c r="AM144" s="3"/>
      <c r="AN144" s="3"/>
      <c r="AO144" s="3"/>
      <c r="AP144" s="178"/>
    </row>
    <row r="145" spans="2:42" x14ac:dyDescent="0.25">
      <c r="B145" s="183"/>
      <c r="C145" s="139" t="s">
        <v>58</v>
      </c>
      <c r="D145" s="139" t="s">
        <v>62</v>
      </c>
      <c r="E145" s="139" t="s">
        <v>66</v>
      </c>
      <c r="F145" s="88" t="s">
        <v>70</v>
      </c>
      <c r="G145" s="4"/>
      <c r="H145" s="139" t="str">
        <f t="shared" ca="1" si="294"/>
        <v>10000100</v>
      </c>
      <c r="I145" s="139" t="str">
        <f t="shared" ca="1" si="294"/>
        <v>10101101</v>
      </c>
      <c r="J145" s="139" t="str">
        <f t="shared" ca="1" si="294"/>
        <v>00010000</v>
      </c>
      <c r="K145" s="88" t="str">
        <f t="shared" ca="1" si="294"/>
        <v>11110101</v>
      </c>
      <c r="L145" s="4"/>
      <c r="M145" s="139">
        <f ca="1">D127</f>
        <v>132</v>
      </c>
      <c r="N145" s="139">
        <f ca="1">N127</f>
        <v>173</v>
      </c>
      <c r="O145" s="139">
        <f ca="1">X127</f>
        <v>16</v>
      </c>
      <c r="P145" s="88">
        <f ca="1">AH127</f>
        <v>245</v>
      </c>
      <c r="Q145" s="4"/>
      <c r="R145" s="139" t="str">
        <f ca="1">_xlfn.BASE(M145,16,2)</f>
        <v>84</v>
      </c>
      <c r="S145" s="139" t="str">
        <f t="shared" ca="1" si="295"/>
        <v>AD</v>
      </c>
      <c r="T145" s="139" t="str">
        <f t="shared" ca="1" si="296"/>
        <v>10</v>
      </c>
      <c r="U145" s="88" t="str">
        <f t="shared" ca="1" si="297"/>
        <v>F5</v>
      </c>
      <c r="V145" s="3"/>
      <c r="W145" s="3"/>
      <c r="X145" s="3"/>
      <c r="Y145" s="3"/>
      <c r="Z145" s="3"/>
      <c r="AA145" s="3"/>
      <c r="AB145" s="3"/>
      <c r="AC145" s="3"/>
      <c r="AD145" s="3"/>
      <c r="AE145" s="3"/>
      <c r="AF145" s="3"/>
      <c r="AG145" s="3"/>
      <c r="AH145" s="3"/>
      <c r="AI145" s="3"/>
      <c r="AJ145" s="3"/>
      <c r="AK145" s="3"/>
      <c r="AL145" s="3"/>
      <c r="AM145" s="3"/>
      <c r="AN145" s="3"/>
      <c r="AO145" s="3"/>
      <c r="AP145" s="178"/>
    </row>
    <row r="146" spans="2:42" ht="15.75" thickBot="1" x14ac:dyDescent="0.3">
      <c r="B146" s="177"/>
      <c r="C146" s="16" t="s">
        <v>59</v>
      </c>
      <c r="D146" s="139" t="s">
        <v>63</v>
      </c>
      <c r="E146" s="139" t="s">
        <v>67</v>
      </c>
      <c r="F146" s="14" t="s">
        <v>71</v>
      </c>
      <c r="G146" s="4"/>
      <c r="H146" s="16" t="str">
        <f t="shared" ca="1" si="294"/>
        <v>00110100</v>
      </c>
      <c r="I146" s="139" t="str">
        <f t="shared" ca="1" si="294"/>
        <v>10110000</v>
      </c>
      <c r="J146" s="139" t="str">
        <f t="shared" ca="1" si="294"/>
        <v>11000110</v>
      </c>
      <c r="K146" s="14" t="str">
        <f t="shared" ca="1" si="294"/>
        <v>11110100</v>
      </c>
      <c r="L146" s="4"/>
      <c r="M146" s="16">
        <f ca="1">D140</f>
        <v>52</v>
      </c>
      <c r="N146" s="139">
        <f ca="1">N140</f>
        <v>176</v>
      </c>
      <c r="O146" s="139">
        <f ca="1">X140</f>
        <v>198</v>
      </c>
      <c r="P146" s="14">
        <f ca="1">AH140</f>
        <v>244</v>
      </c>
      <c r="Q146" s="4"/>
      <c r="R146" s="16" t="str">
        <f t="shared" ref="R146" ca="1" si="298">_xlfn.BASE(M146,16,2)</f>
        <v>34</v>
      </c>
      <c r="S146" s="139" t="str">
        <f t="shared" ca="1" si="295"/>
        <v>B0</v>
      </c>
      <c r="T146" s="139" t="str">
        <f t="shared" ca="1" si="296"/>
        <v>C6</v>
      </c>
      <c r="U146" s="14" t="str">
        <f t="shared" ca="1" si="297"/>
        <v>F4</v>
      </c>
      <c r="V146" s="3"/>
      <c r="W146" s="3"/>
      <c r="X146" s="3"/>
      <c r="Y146" s="3"/>
      <c r="Z146" s="3"/>
      <c r="AA146" s="3"/>
      <c r="AB146" s="3"/>
      <c r="AC146" s="3"/>
      <c r="AD146" s="3"/>
      <c r="AE146" s="3"/>
      <c r="AF146" s="3"/>
      <c r="AG146" s="3"/>
      <c r="AH146" s="3"/>
      <c r="AI146" s="3"/>
      <c r="AJ146" s="3"/>
      <c r="AK146" s="3"/>
      <c r="AL146" s="3"/>
      <c r="AM146" s="3"/>
      <c r="AN146" s="3"/>
      <c r="AO146" s="3"/>
      <c r="AP146" s="178"/>
    </row>
    <row r="147" spans="2:42" s="109" customFormat="1" ht="15.75" thickBot="1" x14ac:dyDescent="0.3">
      <c r="B147" s="184"/>
      <c r="C147" s="185"/>
      <c r="D147" s="185"/>
      <c r="E147" s="185"/>
      <c r="F147" s="185"/>
      <c r="G147" s="186"/>
      <c r="H147" s="185"/>
      <c r="I147" s="185"/>
      <c r="J147" s="185"/>
      <c r="K147" s="185"/>
      <c r="L147" s="186"/>
      <c r="M147" s="185"/>
      <c r="N147" s="185"/>
      <c r="O147" s="185"/>
      <c r="P147" s="185"/>
      <c r="Q147" s="186"/>
      <c r="R147" s="185"/>
      <c r="S147" s="185"/>
      <c r="T147" s="185"/>
      <c r="U147" s="185"/>
      <c r="V147" s="186"/>
      <c r="W147" s="186"/>
      <c r="X147" s="186"/>
      <c r="Y147" s="186"/>
      <c r="Z147" s="186"/>
      <c r="AA147" s="186"/>
      <c r="AB147" s="186"/>
      <c r="AC147" s="186"/>
      <c r="AD147" s="186"/>
      <c r="AE147" s="186"/>
      <c r="AF147" s="186"/>
      <c r="AG147" s="186"/>
      <c r="AH147" s="186"/>
      <c r="AI147" s="186"/>
      <c r="AJ147" s="186"/>
      <c r="AK147" s="186"/>
      <c r="AL147" s="186"/>
      <c r="AM147" s="186"/>
      <c r="AN147" s="186"/>
      <c r="AO147" s="186"/>
      <c r="AP147" s="187"/>
    </row>
    <row r="148" spans="2:42" s="109" customFormat="1" ht="16.5" thickTop="1" thickBot="1" x14ac:dyDescent="0.3">
      <c r="C148" s="108"/>
      <c r="D148" s="108"/>
      <c r="E148" s="108"/>
      <c r="F148" s="108"/>
      <c r="G148" s="3"/>
      <c r="H148" s="108"/>
      <c r="I148" s="108"/>
      <c r="J148" s="108"/>
      <c r="K148" s="108"/>
      <c r="L148" s="3"/>
      <c r="M148" s="108"/>
      <c r="N148" s="108"/>
      <c r="O148" s="108"/>
      <c r="P148" s="108"/>
      <c r="Q148" s="3"/>
      <c r="R148" s="108"/>
      <c r="S148" s="107"/>
      <c r="T148" s="107"/>
      <c r="U148" s="108"/>
    </row>
    <row r="149" spans="2:42" ht="27" thickTop="1" x14ac:dyDescent="0.4">
      <c r="B149" s="275" t="s">
        <v>432</v>
      </c>
      <c r="C149" s="208"/>
      <c r="D149" s="208"/>
      <c r="E149" s="208"/>
      <c r="F149" s="208"/>
      <c r="G149" s="208"/>
      <c r="H149" s="208"/>
      <c r="I149" s="208"/>
      <c r="J149" s="208"/>
      <c r="K149" s="208"/>
      <c r="L149" s="208"/>
      <c r="M149" s="208"/>
      <c r="N149" s="208"/>
      <c r="O149" s="208"/>
      <c r="P149" s="208"/>
      <c r="Q149" s="208"/>
      <c r="R149" s="208"/>
      <c r="S149" s="208"/>
      <c r="T149" s="208"/>
      <c r="U149" s="208"/>
      <c r="V149" s="209"/>
    </row>
    <row r="150" spans="2:42" x14ac:dyDescent="0.25">
      <c r="B150" s="210"/>
      <c r="C150" s="3"/>
      <c r="D150" s="3"/>
      <c r="E150" s="3"/>
      <c r="F150" s="3"/>
      <c r="G150" s="3"/>
      <c r="H150" s="3"/>
      <c r="I150" s="3"/>
      <c r="J150" s="3"/>
      <c r="K150" s="3"/>
      <c r="L150" s="3"/>
      <c r="M150" s="3"/>
      <c r="N150" s="3"/>
      <c r="O150" s="3"/>
      <c r="P150" s="3"/>
      <c r="Q150" s="3"/>
      <c r="R150" s="3"/>
      <c r="S150" s="3"/>
      <c r="T150" s="3"/>
      <c r="U150" s="3"/>
      <c r="V150" s="211"/>
    </row>
    <row r="151" spans="2:42" x14ac:dyDescent="0.25">
      <c r="B151" s="210"/>
      <c r="C151" s="339" t="s">
        <v>2</v>
      </c>
      <c r="D151" s="339"/>
      <c r="E151" s="339"/>
      <c r="F151" s="339"/>
      <c r="G151" s="339"/>
      <c r="H151" s="339"/>
      <c r="I151" s="339"/>
      <c r="J151" s="339"/>
      <c r="K151" s="339"/>
      <c r="L151" s="339"/>
      <c r="M151" s="339"/>
      <c r="N151" s="339"/>
      <c r="O151" s="339"/>
      <c r="P151" s="339"/>
      <c r="Q151" s="339"/>
      <c r="R151" s="339"/>
      <c r="S151" s="3"/>
      <c r="T151" s="3"/>
      <c r="U151" s="3"/>
      <c r="V151" s="211"/>
    </row>
    <row r="152" spans="2:42" x14ac:dyDescent="0.25">
      <c r="B152" s="210"/>
      <c r="C152" s="339" t="s">
        <v>1</v>
      </c>
      <c r="D152" s="339"/>
      <c r="E152" s="339"/>
      <c r="F152" s="339"/>
      <c r="G152" s="339"/>
      <c r="H152" s="339"/>
      <c r="I152" s="339"/>
      <c r="J152" s="339"/>
      <c r="K152" s="339"/>
      <c r="L152" s="339"/>
      <c r="M152" s="339"/>
      <c r="N152" s="339"/>
      <c r="O152" s="339"/>
      <c r="P152" s="339"/>
      <c r="Q152" s="339"/>
      <c r="R152" s="339"/>
      <c r="S152" s="3"/>
      <c r="T152" s="3"/>
      <c r="U152" s="3"/>
      <c r="V152" s="211"/>
    </row>
    <row r="153" spans="2:42" ht="24" thickBot="1" x14ac:dyDescent="0.4">
      <c r="B153" s="212" t="s">
        <v>0</v>
      </c>
      <c r="C153" s="341" t="s">
        <v>441</v>
      </c>
      <c r="D153" s="342"/>
      <c r="E153" s="342"/>
      <c r="F153" s="343"/>
      <c r="G153" s="344" t="s">
        <v>442</v>
      </c>
      <c r="H153" s="345"/>
      <c r="I153" s="345"/>
      <c r="J153" s="346"/>
      <c r="K153" s="347" t="s">
        <v>443</v>
      </c>
      <c r="L153" s="348"/>
      <c r="M153" s="348"/>
      <c r="N153" s="349"/>
      <c r="O153" s="350" t="s">
        <v>444</v>
      </c>
      <c r="P153" s="351"/>
      <c r="Q153" s="351"/>
      <c r="R153" s="352"/>
      <c r="S153" s="3"/>
      <c r="T153" s="3"/>
      <c r="U153" s="3"/>
      <c r="V153" s="211"/>
    </row>
    <row r="154" spans="2:42" ht="15.75" thickBot="1" x14ac:dyDescent="0.3">
      <c r="B154" s="213"/>
      <c r="C154" s="47" t="s">
        <v>426</v>
      </c>
      <c r="D154" s="47" t="s">
        <v>427</v>
      </c>
      <c r="E154" s="47" t="s">
        <v>428</v>
      </c>
      <c r="F154" s="47" t="s">
        <v>429</v>
      </c>
      <c r="G154" s="48" t="s">
        <v>247</v>
      </c>
      <c r="H154" s="48" t="s">
        <v>248</v>
      </c>
      <c r="I154" s="48" t="s">
        <v>249</v>
      </c>
      <c r="J154" s="48" t="s">
        <v>250</v>
      </c>
      <c r="K154" s="46" t="s">
        <v>445</v>
      </c>
      <c r="L154" s="46" t="s">
        <v>446</v>
      </c>
      <c r="M154" s="46" t="s">
        <v>447</v>
      </c>
      <c r="N154" s="46" t="s">
        <v>448</v>
      </c>
      <c r="O154" s="49" t="s">
        <v>449</v>
      </c>
      <c r="P154" s="49" t="s">
        <v>450</v>
      </c>
      <c r="Q154" s="49" t="s">
        <v>430</v>
      </c>
      <c r="R154" s="49" t="s">
        <v>451</v>
      </c>
      <c r="S154" s="3"/>
      <c r="T154" s="3"/>
      <c r="U154" s="3"/>
      <c r="V154" s="211"/>
    </row>
    <row r="155" spans="2:42" x14ac:dyDescent="0.25">
      <c r="B155" s="210"/>
      <c r="C155" s="57">
        <f t="shared" ref="C155:R155" ca="1" si="299">C14</f>
        <v>0</v>
      </c>
      <c r="D155" s="57">
        <f t="shared" ca="1" si="299"/>
        <v>1</v>
      </c>
      <c r="E155" s="57">
        <f t="shared" ca="1" si="299"/>
        <v>2</v>
      </c>
      <c r="F155" s="57">
        <f t="shared" ca="1" si="299"/>
        <v>3</v>
      </c>
      <c r="G155" s="59">
        <f t="shared" ca="1" si="299"/>
        <v>4</v>
      </c>
      <c r="H155" s="59">
        <f t="shared" ca="1" si="299"/>
        <v>5</v>
      </c>
      <c r="I155" s="59">
        <f t="shared" ca="1" si="299"/>
        <v>6</v>
      </c>
      <c r="J155" s="59">
        <f t="shared" ca="1" si="299"/>
        <v>7</v>
      </c>
      <c r="K155" s="50">
        <f t="shared" ca="1" si="299"/>
        <v>8</v>
      </c>
      <c r="L155" s="94">
        <f t="shared" ca="1" si="299"/>
        <v>9</v>
      </c>
      <c r="M155" s="94">
        <f t="shared" ca="1" si="299"/>
        <v>10</v>
      </c>
      <c r="N155" s="54">
        <f t="shared" ca="1" si="299"/>
        <v>11</v>
      </c>
      <c r="O155" s="58">
        <f t="shared" ca="1" si="299"/>
        <v>12</v>
      </c>
      <c r="P155" s="58">
        <f t="shared" ca="1" si="299"/>
        <v>13</v>
      </c>
      <c r="Q155" s="58">
        <f t="shared" ca="1" si="299"/>
        <v>14</v>
      </c>
      <c r="R155" s="56">
        <f t="shared" ca="1" si="299"/>
        <v>15</v>
      </c>
      <c r="S155" s="3"/>
      <c r="T155" s="3"/>
      <c r="U155" s="3"/>
      <c r="V155" s="211"/>
    </row>
    <row r="156" spans="2:42" s="142" customFormat="1" x14ac:dyDescent="0.25">
      <c r="B156" s="210"/>
      <c r="C156" s="3"/>
      <c r="D156" s="3"/>
      <c r="E156" s="3"/>
      <c r="F156" s="3"/>
      <c r="G156" s="3"/>
      <c r="H156" s="3"/>
      <c r="I156" s="3"/>
      <c r="J156" s="3"/>
      <c r="K156" s="3"/>
      <c r="L156" s="3"/>
      <c r="M156" s="3"/>
      <c r="N156" s="3"/>
      <c r="O156" s="3"/>
      <c r="P156" s="3"/>
      <c r="Q156" s="3"/>
      <c r="R156" s="3"/>
      <c r="S156" s="3"/>
      <c r="T156" s="3"/>
      <c r="U156" s="3"/>
      <c r="V156" s="211"/>
    </row>
    <row r="157" spans="2:42" ht="18.75" x14ac:dyDescent="0.3">
      <c r="B157" s="214" t="s">
        <v>74</v>
      </c>
      <c r="C157" s="3"/>
      <c r="D157" s="3"/>
      <c r="E157" s="3"/>
      <c r="F157" s="3"/>
      <c r="G157" s="3"/>
      <c r="H157" s="3"/>
      <c r="I157" s="3"/>
      <c r="J157" s="3"/>
      <c r="K157" s="3"/>
      <c r="L157" s="3"/>
      <c r="M157" s="3"/>
      <c r="N157" s="3"/>
      <c r="O157" s="3"/>
      <c r="P157" s="3"/>
      <c r="Q157" s="3"/>
      <c r="R157" s="3"/>
      <c r="S157" s="3"/>
      <c r="T157" s="3"/>
      <c r="U157" s="3"/>
      <c r="V157" s="211"/>
    </row>
    <row r="158" spans="2:42" ht="15.75" thickBot="1" x14ac:dyDescent="0.3">
      <c r="B158" s="210"/>
      <c r="C158" s="3"/>
      <c r="D158" s="339" t="s">
        <v>256</v>
      </c>
      <c r="E158" s="339"/>
      <c r="F158" s="339"/>
      <c r="G158" s="339"/>
      <c r="H158" s="3"/>
      <c r="I158" s="339" t="s">
        <v>257</v>
      </c>
      <c r="J158" s="339"/>
      <c r="K158" s="339"/>
      <c r="L158" s="339"/>
      <c r="M158" s="3"/>
      <c r="N158" s="337" t="s">
        <v>258</v>
      </c>
      <c r="O158" s="339"/>
      <c r="P158" s="339"/>
      <c r="Q158" s="337"/>
      <c r="R158" s="3"/>
      <c r="S158" s="3"/>
      <c r="T158" s="3"/>
      <c r="U158" s="3"/>
      <c r="V158" s="211"/>
    </row>
    <row r="159" spans="2:42" x14ac:dyDescent="0.25">
      <c r="B159" s="215" t="s">
        <v>75</v>
      </c>
      <c r="C159" s="4"/>
      <c r="D159" s="11" t="s">
        <v>77</v>
      </c>
      <c r="E159" s="11" t="s">
        <v>78</v>
      </c>
      <c r="F159" s="11" t="s">
        <v>79</v>
      </c>
      <c r="G159" s="11" t="s">
        <v>76</v>
      </c>
      <c r="H159" s="12"/>
      <c r="I159" s="61" t="s">
        <v>77</v>
      </c>
      <c r="J159" s="61" t="s">
        <v>78</v>
      </c>
      <c r="K159" s="61" t="s">
        <v>79</v>
      </c>
      <c r="L159" s="61" t="s">
        <v>76</v>
      </c>
      <c r="M159" s="7"/>
      <c r="N159" s="11" t="s">
        <v>77</v>
      </c>
      <c r="O159" s="11" t="s">
        <v>78</v>
      </c>
      <c r="P159" s="11" t="s">
        <v>79</v>
      </c>
      <c r="Q159" s="61" t="s">
        <v>76</v>
      </c>
      <c r="R159" s="3"/>
      <c r="S159" s="3"/>
      <c r="T159" s="3"/>
      <c r="U159" s="3"/>
      <c r="V159" s="211"/>
    </row>
    <row r="160" spans="2:42" x14ac:dyDescent="0.25">
      <c r="B160" s="216"/>
      <c r="C160" s="60"/>
      <c r="D160" s="88" t="str">
        <f ca="1">_xlfn.BASE(I160,2,8)</f>
        <v>00001101</v>
      </c>
      <c r="E160" s="88" t="str">
        <f ca="1">_xlfn.BASE(J160,2,8)</f>
        <v>00001110</v>
      </c>
      <c r="F160" s="88" t="str">
        <f ca="1">_xlfn.BASE(K160,2,8)</f>
        <v>00001111</v>
      </c>
      <c r="G160" s="88" t="str">
        <f ca="1">_xlfn.BASE(L160,2,8)</f>
        <v>00001100</v>
      </c>
      <c r="H160" s="10"/>
      <c r="I160" s="88">
        <f ca="1">P155</f>
        <v>13</v>
      </c>
      <c r="J160" s="12">
        <f ca="1">Q155</f>
        <v>14</v>
      </c>
      <c r="K160" s="12">
        <f ca="1">R155</f>
        <v>15</v>
      </c>
      <c r="L160" s="12">
        <f ca="1">O155</f>
        <v>12</v>
      </c>
      <c r="M160" s="10"/>
      <c r="N160" s="88" t="str">
        <f ca="1">_xlfn.BASE(I160,16,2)</f>
        <v>0D</v>
      </c>
      <c r="O160" s="88" t="str">
        <f ca="1">_xlfn.BASE(J160,16,2)</f>
        <v>0E</v>
      </c>
      <c r="P160" s="88" t="str">
        <f ca="1">_xlfn.BASE(K160,16,2)</f>
        <v>0F</v>
      </c>
      <c r="Q160" s="12" t="str">
        <f ca="1">_xlfn.BASE(L160,16,2)</f>
        <v>0C</v>
      </c>
      <c r="R160" s="3"/>
      <c r="S160" s="3"/>
      <c r="T160" s="3"/>
      <c r="U160" s="3"/>
      <c r="V160" s="211"/>
    </row>
    <row r="161" spans="2:38" x14ac:dyDescent="0.25">
      <c r="B161" s="210"/>
      <c r="C161" s="139"/>
      <c r="D161" s="139"/>
      <c r="E161" s="139"/>
      <c r="F161" s="139"/>
      <c r="G161" s="139"/>
      <c r="H161" s="3"/>
      <c r="I161" s="3"/>
      <c r="J161" s="3"/>
      <c r="K161" s="3"/>
      <c r="L161" s="3"/>
      <c r="M161" s="3"/>
      <c r="N161" s="3"/>
      <c r="O161" s="3"/>
      <c r="P161" s="3"/>
      <c r="Q161" s="3"/>
      <c r="R161" s="3"/>
      <c r="S161" s="3"/>
      <c r="T161" s="3"/>
      <c r="U161" s="3"/>
      <c r="V161" s="211"/>
      <c r="AI161" s="28"/>
      <c r="AJ161" s="28"/>
      <c r="AK161" s="28"/>
      <c r="AL161" s="28"/>
    </row>
    <row r="162" spans="2:38" ht="18.75" x14ac:dyDescent="0.3">
      <c r="B162" s="214" t="s">
        <v>251</v>
      </c>
      <c r="C162" s="3"/>
      <c r="D162" s="3"/>
      <c r="E162" s="3"/>
      <c r="F162" s="3"/>
      <c r="G162" s="3"/>
      <c r="H162" s="3"/>
      <c r="I162" s="3"/>
      <c r="J162" s="3"/>
      <c r="K162" s="3"/>
      <c r="L162" s="3"/>
      <c r="M162" s="3"/>
      <c r="N162" s="3"/>
      <c r="O162" s="3"/>
      <c r="P162" s="3"/>
      <c r="Q162" s="3"/>
      <c r="R162" s="3"/>
      <c r="S162" s="3"/>
      <c r="T162" s="3"/>
      <c r="U162" s="3"/>
      <c r="V162" s="211"/>
    </row>
    <row r="163" spans="2:38" ht="18.75" x14ac:dyDescent="0.3">
      <c r="B163" s="210"/>
      <c r="C163" s="188"/>
      <c r="D163" s="3"/>
      <c r="E163" s="3"/>
      <c r="F163" s="3"/>
      <c r="G163" s="3"/>
      <c r="H163" s="3"/>
      <c r="I163" s="3"/>
      <c r="J163" s="3"/>
      <c r="K163" s="3"/>
      <c r="L163" s="3"/>
      <c r="M163" s="3"/>
      <c r="N163" s="3"/>
      <c r="O163" s="3"/>
      <c r="P163" s="3"/>
      <c r="Q163" s="3"/>
      <c r="R163" s="3"/>
      <c r="S163" s="3"/>
      <c r="T163" s="3"/>
      <c r="U163" s="3"/>
      <c r="V163" s="211"/>
    </row>
    <row r="164" spans="2:38" ht="15.75" thickBot="1" x14ac:dyDescent="0.3">
      <c r="B164" s="210"/>
      <c r="C164" s="3"/>
      <c r="D164" s="337" t="s">
        <v>278</v>
      </c>
      <c r="E164" s="337"/>
      <c r="F164" s="3"/>
      <c r="G164" s="337" t="s">
        <v>279</v>
      </c>
      <c r="H164" s="337"/>
      <c r="I164" s="3"/>
      <c r="J164" s="337" t="s">
        <v>280</v>
      </c>
      <c r="K164" s="337"/>
      <c r="L164" s="3"/>
      <c r="M164" s="337" t="s">
        <v>281</v>
      </c>
      <c r="N164" s="337"/>
      <c r="O164" s="3"/>
      <c r="P164" s="3"/>
      <c r="Q164" s="3"/>
      <c r="R164" s="3"/>
      <c r="S164" s="3"/>
      <c r="T164" s="3"/>
      <c r="U164" s="3"/>
      <c r="V164" s="211"/>
    </row>
    <row r="165" spans="2:38" x14ac:dyDescent="0.25">
      <c r="B165" s="210"/>
      <c r="C165" s="139" t="s">
        <v>90</v>
      </c>
      <c r="D165" s="12" t="str">
        <f ca="1">LEFT(N160,1)&amp;"0"</f>
        <v>00</v>
      </c>
      <c r="E165" s="88" t="str">
        <f ca="1">"0"&amp;RIGHT(N160,1)</f>
        <v>0D</v>
      </c>
      <c r="F165" s="7"/>
      <c r="G165" s="88" t="str">
        <f ca="1">LEFT(O160,1)&amp;"0"</f>
        <v>00</v>
      </c>
      <c r="H165" s="12" t="str">
        <f ca="1">"0"&amp;RIGHT(O160,1)</f>
        <v>0E</v>
      </c>
      <c r="I165" s="7"/>
      <c r="J165" s="88" t="str">
        <f ca="1">LEFT(P160,1)&amp;"0"</f>
        <v>00</v>
      </c>
      <c r="K165" s="12" t="str">
        <f ca="1">"0"&amp;RIGHT(P160,1)</f>
        <v>0F</v>
      </c>
      <c r="L165" s="7"/>
      <c r="M165" s="88" t="str">
        <f ca="1">LEFT(Q160,1)&amp;"0"</f>
        <v>00</v>
      </c>
      <c r="N165" s="12" t="str">
        <f ca="1">"0"&amp;RIGHT(Q160,1)</f>
        <v>0C</v>
      </c>
      <c r="O165" s="3"/>
      <c r="P165" s="3"/>
      <c r="Q165" s="3"/>
      <c r="R165" s="3"/>
      <c r="S165" s="3"/>
      <c r="T165" s="3"/>
      <c r="U165" s="3"/>
      <c r="V165" s="211"/>
    </row>
    <row r="166" spans="2:38" x14ac:dyDescent="0.25">
      <c r="B166" s="210"/>
      <c r="C166" s="139" t="s">
        <v>255</v>
      </c>
      <c r="D166" s="10">
        <f ca="1">HEX2DEC(D165)</f>
        <v>0</v>
      </c>
      <c r="E166" s="40">
        <f ca="1">HEX2DEC(E165)</f>
        <v>13</v>
      </c>
      <c r="F166" s="12"/>
      <c r="G166" s="40">
        <f ca="1">HEX2DEC(G165)</f>
        <v>0</v>
      </c>
      <c r="H166" s="10">
        <f ca="1">HEX2DEC(H165)</f>
        <v>14</v>
      </c>
      <c r="I166" s="12"/>
      <c r="J166" s="40">
        <f ca="1">HEX2DEC(J165)</f>
        <v>0</v>
      </c>
      <c r="K166" s="10">
        <f ca="1">HEX2DEC(K165)</f>
        <v>15</v>
      </c>
      <c r="L166" s="12"/>
      <c r="M166" s="40">
        <f ca="1">HEX2DEC(M165)</f>
        <v>0</v>
      </c>
      <c r="N166" s="10">
        <f ca="1">HEX2DEC(N165)</f>
        <v>12</v>
      </c>
      <c r="O166" s="189"/>
      <c r="P166" s="3"/>
      <c r="Q166" s="3"/>
      <c r="R166" s="3"/>
      <c r="S166" s="3"/>
      <c r="T166" s="3"/>
      <c r="U166" s="3"/>
      <c r="V166" s="211"/>
      <c r="X166" s="29"/>
    </row>
    <row r="167" spans="2:38" x14ac:dyDescent="0.25">
      <c r="B167" s="210"/>
      <c r="C167" s="139"/>
      <c r="D167" s="62"/>
      <c r="E167" s="62"/>
      <c r="F167" s="139"/>
      <c r="G167" s="62"/>
      <c r="H167" s="62"/>
      <c r="I167" s="139"/>
      <c r="J167" s="62"/>
      <c r="K167" s="62"/>
      <c r="L167" s="139"/>
      <c r="M167" s="62"/>
      <c r="N167" s="62"/>
      <c r="O167" s="189"/>
      <c r="P167" s="3"/>
      <c r="Q167" s="3"/>
      <c r="R167" s="3"/>
      <c r="S167" s="3"/>
      <c r="T167" s="3"/>
      <c r="U167" s="3"/>
      <c r="V167" s="211"/>
    </row>
    <row r="168" spans="2:38" ht="15.75" thickBot="1" x14ac:dyDescent="0.3">
      <c r="B168" s="210"/>
      <c r="C168" s="139"/>
      <c r="D168" s="337" t="s">
        <v>283</v>
      </c>
      <c r="E168" s="337"/>
      <c r="F168" s="139"/>
      <c r="G168" s="337" t="s">
        <v>284</v>
      </c>
      <c r="H168" s="337"/>
      <c r="I168" s="139"/>
      <c r="J168" s="337" t="s">
        <v>285</v>
      </c>
      <c r="K168" s="337"/>
      <c r="L168" s="139"/>
      <c r="M168" s="337" t="s">
        <v>286</v>
      </c>
      <c r="N168" s="337"/>
      <c r="O168" s="189"/>
      <c r="P168" s="3"/>
      <c r="Q168" s="3"/>
      <c r="R168" s="3"/>
      <c r="S168" s="3"/>
      <c r="T168" s="3"/>
      <c r="U168" s="3"/>
      <c r="V168" s="211"/>
    </row>
    <row r="169" spans="2:38" ht="15.75" thickBot="1" x14ac:dyDescent="0.3">
      <c r="B169" s="210"/>
      <c r="C169" s="139" t="s">
        <v>255</v>
      </c>
      <c r="D169" s="365">
        <f ca="1">INDEX('AES S-box'!$D$23:$S$38,MATCH('Encryption Calculations'!D166,'AES S-box'!$C$23:$C$38,1),MATCH('Encryption Calculations'!E166,'AES S-box'!$D$22:$S$22,1))</f>
        <v>215</v>
      </c>
      <c r="E169" s="365"/>
      <c r="F169" s="3"/>
      <c r="G169" s="365">
        <f ca="1">INDEX('AES S-box'!$D$23:$S$38,MATCH('Encryption Calculations'!G166,'AES S-box'!$C$23:$C$38,1),MATCH('Encryption Calculations'!H166,'AES S-box'!$D$22:$S$22,1))</f>
        <v>171</v>
      </c>
      <c r="H169" s="365"/>
      <c r="I169" s="3"/>
      <c r="J169" s="365">
        <f ca="1">INDEX('AES S-box'!$D$23:$S$38,MATCH('Encryption Calculations'!J166,'AES S-box'!$C$23:$C$38,1),MATCH('Encryption Calculations'!K166,'AES S-box'!$D$22:$S$22,1))</f>
        <v>118</v>
      </c>
      <c r="K169" s="365"/>
      <c r="L169" s="3"/>
      <c r="M169" s="365">
        <f ca="1">INDEX('AES S-box'!$D$23:$S$38,MATCH('Encryption Calculations'!M166,'AES S-box'!$C$23:$C$38,1),MATCH('Encryption Calculations'!N166,'AES S-box'!$D$22:$S$22,1))</f>
        <v>254</v>
      </c>
      <c r="N169" s="365"/>
      <c r="O169" s="3"/>
      <c r="P169" s="3"/>
      <c r="Q169" s="3"/>
      <c r="R169" s="3"/>
      <c r="S169" s="3"/>
      <c r="T169" s="3"/>
      <c r="U169" s="3"/>
      <c r="V169" s="211"/>
    </row>
    <row r="170" spans="2:38" ht="15.75" thickBot="1" x14ac:dyDescent="0.3">
      <c r="B170" s="210"/>
      <c r="C170" s="139" t="s">
        <v>90</v>
      </c>
      <c r="D170" s="365" t="str">
        <f ca="1">DEC2HEX(D169,2)</f>
        <v>D7</v>
      </c>
      <c r="E170" s="365"/>
      <c r="F170" s="3"/>
      <c r="G170" s="365" t="str">
        <f ca="1">DEC2HEX(G169,2)</f>
        <v>AB</v>
      </c>
      <c r="H170" s="365"/>
      <c r="I170" s="3"/>
      <c r="J170" s="365" t="str">
        <f ca="1">DEC2HEX(J169,2)</f>
        <v>76</v>
      </c>
      <c r="K170" s="365"/>
      <c r="L170" s="3"/>
      <c r="M170" s="365" t="str">
        <f ca="1">DEC2HEX(M169,2)</f>
        <v>FE</v>
      </c>
      <c r="N170" s="365"/>
      <c r="O170" s="3"/>
      <c r="P170" s="3"/>
      <c r="Q170" s="3"/>
      <c r="R170" s="3"/>
      <c r="S170" s="3"/>
      <c r="T170" s="3"/>
      <c r="U170" s="3"/>
      <c r="V170" s="211"/>
    </row>
    <row r="171" spans="2:38" x14ac:dyDescent="0.25">
      <c r="B171" s="210"/>
      <c r="C171" s="3"/>
      <c r="D171" s="3"/>
      <c r="E171" s="3"/>
      <c r="F171" s="3"/>
      <c r="G171" s="6"/>
      <c r="H171" s="6"/>
      <c r="I171" s="3"/>
      <c r="J171" s="3"/>
      <c r="K171" s="3"/>
      <c r="L171" s="3"/>
      <c r="M171" s="3"/>
      <c r="N171" s="3"/>
      <c r="O171" s="3"/>
      <c r="P171" s="3"/>
      <c r="Q171" s="3"/>
      <c r="R171" s="3"/>
      <c r="S171" s="3"/>
      <c r="T171" s="3"/>
      <c r="U171" s="3"/>
      <c r="V171" s="211"/>
    </row>
    <row r="172" spans="2:38" ht="15.75" thickBot="1" x14ac:dyDescent="0.3">
      <c r="B172" s="210"/>
      <c r="C172" s="3"/>
      <c r="D172" s="337" t="s">
        <v>288</v>
      </c>
      <c r="E172" s="337"/>
      <c r="F172" s="337"/>
      <c r="G172" s="337"/>
      <c r="H172" s="3"/>
      <c r="I172" s="337" t="s">
        <v>287</v>
      </c>
      <c r="J172" s="337"/>
      <c r="K172" s="337"/>
      <c r="L172" s="337"/>
      <c r="M172" s="3"/>
      <c r="N172" s="337" t="s">
        <v>289</v>
      </c>
      <c r="O172" s="337"/>
      <c r="P172" s="337"/>
      <c r="Q172" s="337"/>
      <c r="R172" s="3"/>
      <c r="S172" s="3"/>
      <c r="T172" s="3"/>
      <c r="U172" s="3"/>
      <c r="V172" s="211"/>
    </row>
    <row r="173" spans="2:38" x14ac:dyDescent="0.25">
      <c r="B173" s="210"/>
      <c r="C173" s="4"/>
      <c r="D173" s="11" t="s">
        <v>77</v>
      </c>
      <c r="E173" s="11" t="s">
        <v>78</v>
      </c>
      <c r="F173" s="11" t="s">
        <v>79</v>
      </c>
      <c r="G173" s="11" t="s">
        <v>76</v>
      </c>
      <c r="H173" s="12"/>
      <c r="I173" s="88" t="s">
        <v>77</v>
      </c>
      <c r="J173" s="12" t="s">
        <v>78</v>
      </c>
      <c r="K173" s="12" t="s">
        <v>79</v>
      </c>
      <c r="L173" s="61" t="s">
        <v>76</v>
      </c>
      <c r="M173" s="7"/>
      <c r="N173" s="11" t="s">
        <v>77</v>
      </c>
      <c r="O173" s="11" t="s">
        <v>78</v>
      </c>
      <c r="P173" s="11" t="s">
        <v>79</v>
      </c>
      <c r="Q173" s="61" t="s">
        <v>76</v>
      </c>
      <c r="R173" s="3"/>
      <c r="S173" s="3"/>
      <c r="T173" s="3"/>
      <c r="U173" s="3"/>
      <c r="V173" s="211"/>
    </row>
    <row r="174" spans="2:38" ht="21" x14ac:dyDescent="0.35">
      <c r="B174" s="210"/>
      <c r="C174" s="60"/>
      <c r="D174" s="88" t="str">
        <f ca="1">_xlfn.BASE(I174,2,8)</f>
        <v>11010111</v>
      </c>
      <c r="E174" s="88" t="str">
        <f ca="1">_xlfn.BASE(J174,2,8)</f>
        <v>10101011</v>
      </c>
      <c r="F174" s="88" t="str">
        <f ca="1">_xlfn.BASE(K174,2,8)</f>
        <v>01110110</v>
      </c>
      <c r="G174" s="88" t="str">
        <f ca="1">_xlfn.BASE(L174,2,8)</f>
        <v>11111110</v>
      </c>
      <c r="H174" s="21" t="s">
        <v>8</v>
      </c>
      <c r="I174" s="88">
        <f ca="1">D169</f>
        <v>215</v>
      </c>
      <c r="J174" s="12">
        <f ca="1">G169</f>
        <v>171</v>
      </c>
      <c r="K174" s="12">
        <f ca="1">J169</f>
        <v>118</v>
      </c>
      <c r="L174" s="12">
        <f ca="1">M169</f>
        <v>254</v>
      </c>
      <c r="M174" s="21" t="s">
        <v>8</v>
      </c>
      <c r="N174" s="88" t="str">
        <f ca="1">_xlfn.BASE(I174,16,2)</f>
        <v>D7</v>
      </c>
      <c r="O174" s="88" t="str">
        <f ca="1">_xlfn.BASE(J174,16,2)</f>
        <v>AB</v>
      </c>
      <c r="P174" s="88" t="str">
        <f ca="1">_xlfn.BASE(K174,16,2)</f>
        <v>76</v>
      </c>
      <c r="Q174" s="12" t="str">
        <f ca="1">_xlfn.BASE(L174,16,2)</f>
        <v>FE</v>
      </c>
      <c r="R174" s="3"/>
      <c r="S174" s="3"/>
      <c r="T174" s="3"/>
      <c r="U174" s="3"/>
      <c r="V174" s="211"/>
    </row>
    <row r="175" spans="2:38" x14ac:dyDescent="0.25">
      <c r="B175" s="210"/>
      <c r="C175" s="139"/>
      <c r="D175" s="139"/>
      <c r="E175" s="139"/>
      <c r="F175" s="139"/>
      <c r="G175" s="139"/>
      <c r="H175" s="3"/>
      <c r="I175" s="3"/>
      <c r="J175" s="3"/>
      <c r="K175" s="3"/>
      <c r="L175" s="3"/>
      <c r="M175" s="3"/>
      <c r="N175" s="3"/>
      <c r="O175" s="3"/>
      <c r="P175" s="3"/>
      <c r="Q175" s="3"/>
      <c r="R175" s="3"/>
      <c r="S175" s="3"/>
      <c r="T175" s="3"/>
      <c r="U175" s="3"/>
      <c r="V175" s="211"/>
    </row>
    <row r="176" spans="2:38" x14ac:dyDescent="0.25">
      <c r="B176" s="210"/>
      <c r="C176" s="3"/>
      <c r="D176" s="3"/>
      <c r="E176" s="3"/>
      <c r="F176" s="3"/>
      <c r="G176" s="3"/>
      <c r="H176" s="3"/>
      <c r="I176" s="3"/>
      <c r="J176" s="3"/>
      <c r="K176" s="3"/>
      <c r="L176" s="3"/>
      <c r="M176" s="3"/>
      <c r="N176" s="3"/>
      <c r="O176" s="3"/>
      <c r="P176" s="3"/>
      <c r="Q176" s="3"/>
      <c r="R176" s="3"/>
      <c r="S176" s="3"/>
      <c r="T176" s="3"/>
      <c r="U176" s="3"/>
      <c r="V176" s="211"/>
    </row>
    <row r="177" spans="2:22" ht="18.75" x14ac:dyDescent="0.3">
      <c r="B177" s="214" t="s">
        <v>260</v>
      </c>
      <c r="C177" s="3"/>
      <c r="D177" s="3"/>
      <c r="E177" s="3"/>
      <c r="F177" s="3"/>
      <c r="G177" s="3"/>
      <c r="H177" s="3"/>
      <c r="I177" s="3"/>
      <c r="J177" s="3"/>
      <c r="K177" s="3"/>
      <c r="L177" s="3"/>
      <c r="M177" s="3"/>
      <c r="N177" s="3"/>
      <c r="O177" s="3"/>
      <c r="P177" s="3"/>
      <c r="Q177" s="3"/>
      <c r="R177" s="3"/>
      <c r="S177" s="3"/>
      <c r="T177" s="3"/>
      <c r="U177" s="3"/>
      <c r="V177" s="211"/>
    </row>
    <row r="178" spans="2:22" ht="15" customHeight="1" x14ac:dyDescent="0.25">
      <c r="B178" s="210"/>
      <c r="C178" s="339" t="s">
        <v>277</v>
      </c>
      <c r="D178" s="339"/>
      <c r="E178" s="339"/>
      <c r="F178" s="339"/>
      <c r="G178" s="339"/>
      <c r="H178" s="339"/>
      <c r="I178" s="339"/>
      <c r="J178" s="339"/>
      <c r="K178" s="339"/>
      <c r="L178" s="339"/>
      <c r="M178" s="339"/>
      <c r="N178" s="3"/>
      <c r="O178" s="3"/>
      <c r="P178" s="3"/>
      <c r="Q178" s="3"/>
      <c r="R178" s="3"/>
      <c r="T178" s="3"/>
      <c r="U178" s="3"/>
      <c r="V178" s="211"/>
    </row>
    <row r="179" spans="2:22" ht="15.75" customHeight="1" thickBot="1" x14ac:dyDescent="0.3">
      <c r="B179" s="373" t="s">
        <v>276</v>
      </c>
      <c r="C179" s="14" t="s">
        <v>264</v>
      </c>
      <c r="D179" s="65">
        <v>1</v>
      </c>
      <c r="E179" s="65">
        <v>2</v>
      </c>
      <c r="F179" s="65">
        <v>3</v>
      </c>
      <c r="G179" s="65">
        <v>4</v>
      </c>
      <c r="H179" s="65">
        <v>5</v>
      </c>
      <c r="I179" s="65">
        <v>6</v>
      </c>
      <c r="J179" s="65">
        <v>7</v>
      </c>
      <c r="K179" s="65">
        <v>8</v>
      </c>
      <c r="L179" s="65">
        <v>9</v>
      </c>
      <c r="M179" s="65">
        <v>10</v>
      </c>
      <c r="N179" s="3"/>
      <c r="O179" s="3"/>
      <c r="P179" s="139"/>
      <c r="Q179" s="139"/>
      <c r="R179" s="3"/>
      <c r="T179" s="3"/>
      <c r="U179" s="3"/>
      <c r="V179" s="211"/>
    </row>
    <row r="180" spans="2:22" ht="15" customHeight="1" x14ac:dyDescent="0.25">
      <c r="B180" s="373"/>
      <c r="C180" s="356" t="s">
        <v>263</v>
      </c>
      <c r="D180" s="66" t="s">
        <v>266</v>
      </c>
      <c r="E180" s="66" t="s">
        <v>267</v>
      </c>
      <c r="F180" s="66" t="s">
        <v>268</v>
      </c>
      <c r="G180" s="66" t="s">
        <v>269</v>
      </c>
      <c r="H180" s="68" t="s">
        <v>270</v>
      </c>
      <c r="I180" s="66" t="s">
        <v>271</v>
      </c>
      <c r="J180" s="68" t="s">
        <v>272</v>
      </c>
      <c r="K180" s="66" t="s">
        <v>273</v>
      </c>
      <c r="L180" s="66" t="s">
        <v>274</v>
      </c>
      <c r="M180" s="66" t="s">
        <v>275</v>
      </c>
      <c r="N180" s="139"/>
      <c r="O180" s="3"/>
      <c r="P180" s="139"/>
      <c r="Q180" s="139"/>
      <c r="R180" s="3"/>
      <c r="S180" s="3"/>
      <c r="T180" s="3"/>
      <c r="U180" s="3"/>
      <c r="V180" s="211"/>
    </row>
    <row r="181" spans="2:22" ht="15" customHeight="1" x14ac:dyDescent="0.25">
      <c r="B181" s="373"/>
      <c r="C181" s="356"/>
      <c r="D181" s="67" t="s">
        <v>265</v>
      </c>
      <c r="E181" s="67" t="s">
        <v>265</v>
      </c>
      <c r="F181" s="67" t="s">
        <v>265</v>
      </c>
      <c r="G181" s="67" t="s">
        <v>265</v>
      </c>
      <c r="H181" s="69" t="s">
        <v>265</v>
      </c>
      <c r="I181" s="67" t="s">
        <v>265</v>
      </c>
      <c r="J181" s="69" t="s">
        <v>265</v>
      </c>
      <c r="K181" s="67" t="s">
        <v>265</v>
      </c>
      <c r="L181" s="67" t="s">
        <v>265</v>
      </c>
      <c r="M181" s="67" t="s">
        <v>265</v>
      </c>
      <c r="N181" s="3"/>
      <c r="O181" s="3"/>
      <c r="P181" s="139"/>
      <c r="Q181" s="139"/>
      <c r="R181" s="139"/>
      <c r="S181" s="3"/>
      <c r="T181" s="3"/>
      <c r="U181" s="3"/>
      <c r="V181" s="211"/>
    </row>
    <row r="182" spans="2:22" ht="15" customHeight="1" x14ac:dyDescent="0.25">
      <c r="B182" s="373"/>
      <c r="C182" s="356"/>
      <c r="D182" s="67" t="s">
        <v>265</v>
      </c>
      <c r="E182" s="67" t="s">
        <v>265</v>
      </c>
      <c r="F182" s="67" t="s">
        <v>265</v>
      </c>
      <c r="G182" s="67" t="s">
        <v>265</v>
      </c>
      <c r="H182" s="69" t="s">
        <v>265</v>
      </c>
      <c r="I182" s="67" t="s">
        <v>265</v>
      </c>
      <c r="J182" s="69" t="s">
        <v>265</v>
      </c>
      <c r="K182" s="67" t="s">
        <v>265</v>
      </c>
      <c r="L182" s="67" t="s">
        <v>265</v>
      </c>
      <c r="M182" s="67" t="s">
        <v>265</v>
      </c>
      <c r="N182" s="3"/>
      <c r="O182" s="3"/>
      <c r="P182" s="139"/>
      <c r="Q182" s="139"/>
      <c r="R182" s="139"/>
      <c r="S182" s="3"/>
      <c r="T182" s="3"/>
      <c r="U182" s="3"/>
      <c r="V182" s="211"/>
    </row>
    <row r="183" spans="2:22" x14ac:dyDescent="0.25">
      <c r="B183" s="373"/>
      <c r="C183" s="356"/>
      <c r="D183" s="67" t="s">
        <v>265</v>
      </c>
      <c r="E183" s="67" t="s">
        <v>265</v>
      </c>
      <c r="F183" s="67" t="s">
        <v>265</v>
      </c>
      <c r="G183" s="67" t="s">
        <v>265</v>
      </c>
      <c r="H183" s="69" t="s">
        <v>265</v>
      </c>
      <c r="I183" s="67" t="s">
        <v>265</v>
      </c>
      <c r="J183" s="69" t="s">
        <v>265</v>
      </c>
      <c r="K183" s="67" t="s">
        <v>265</v>
      </c>
      <c r="L183" s="67" t="s">
        <v>265</v>
      </c>
      <c r="M183" s="67" t="s">
        <v>265</v>
      </c>
      <c r="N183" s="139"/>
      <c r="O183" s="3"/>
      <c r="P183" s="139"/>
      <c r="Q183" s="139"/>
      <c r="R183" s="139"/>
      <c r="S183" s="3"/>
      <c r="T183" s="3"/>
      <c r="U183" s="3"/>
      <c r="V183" s="211"/>
    </row>
    <row r="184" spans="2:22" x14ac:dyDescent="0.25">
      <c r="B184" s="217"/>
      <c r="C184" s="3"/>
      <c r="D184" s="3"/>
      <c r="E184" s="3"/>
      <c r="F184" s="3"/>
      <c r="G184" s="3"/>
      <c r="H184" s="3"/>
      <c r="I184" s="3"/>
      <c r="J184" s="3"/>
      <c r="K184" s="3"/>
      <c r="L184" s="3"/>
      <c r="M184" s="139"/>
      <c r="N184" s="139"/>
      <c r="O184" s="3"/>
      <c r="P184" s="139"/>
      <c r="Q184" s="139"/>
      <c r="R184" s="139"/>
      <c r="S184" s="3"/>
      <c r="T184" s="3"/>
      <c r="U184" s="3"/>
      <c r="V184" s="211"/>
    </row>
    <row r="185" spans="2:22" x14ac:dyDescent="0.25">
      <c r="B185" s="216"/>
      <c r="C185" s="74"/>
      <c r="D185" s="74"/>
      <c r="E185" s="74"/>
      <c r="F185" s="74"/>
      <c r="G185" s="74"/>
      <c r="H185" s="74"/>
      <c r="I185" s="74"/>
      <c r="J185" s="74"/>
      <c r="K185" s="74"/>
      <c r="L185" s="74"/>
      <c r="M185" s="139"/>
      <c r="N185" s="139"/>
      <c r="O185" s="3"/>
      <c r="P185" s="139"/>
      <c r="Q185" s="139"/>
      <c r="R185" s="139"/>
      <c r="S185" s="3"/>
      <c r="T185" s="3"/>
      <c r="U185" s="3"/>
      <c r="V185" s="211"/>
    </row>
    <row r="186" spans="2:22" ht="15.75" thickBot="1" x14ac:dyDescent="0.3">
      <c r="B186" s="216"/>
      <c r="C186" s="191"/>
      <c r="D186" s="138" t="s">
        <v>283</v>
      </c>
      <c r="E186" s="138" t="s">
        <v>290</v>
      </c>
      <c r="F186" s="139"/>
      <c r="G186" s="138" t="s">
        <v>284</v>
      </c>
      <c r="H186" s="138" t="s">
        <v>291</v>
      </c>
      <c r="I186" s="139"/>
      <c r="J186" s="138" t="s">
        <v>285</v>
      </c>
      <c r="K186" s="138" t="s">
        <v>292</v>
      </c>
      <c r="L186" s="139"/>
      <c r="M186" s="138" t="s">
        <v>286</v>
      </c>
      <c r="N186" s="138" t="s">
        <v>293</v>
      </c>
      <c r="O186" s="3"/>
      <c r="P186" s="139"/>
      <c r="Q186" s="139"/>
      <c r="R186" s="139"/>
      <c r="S186" s="3"/>
      <c r="T186" s="3"/>
      <c r="U186" s="3"/>
      <c r="V186" s="211"/>
    </row>
    <row r="187" spans="2:22" s="125" customFormat="1" ht="15.75" thickBot="1" x14ac:dyDescent="0.3">
      <c r="B187" s="216"/>
      <c r="C187" s="139"/>
      <c r="D187" s="144">
        <f ca="1">D169</f>
        <v>215</v>
      </c>
      <c r="E187" s="144">
        <f>HEX2DEC(MID($D$180,2,2))</f>
        <v>1</v>
      </c>
      <c r="F187" s="139"/>
      <c r="G187" s="144">
        <f ca="1">G169</f>
        <v>171</v>
      </c>
      <c r="H187" s="144">
        <f>HEX2DEC(MID($D$181,2,2))</f>
        <v>0</v>
      </c>
      <c r="I187" s="139"/>
      <c r="J187" s="144">
        <f ca="1">J169</f>
        <v>118</v>
      </c>
      <c r="K187" s="144">
        <f>HEX2DEC(MID($D$182,2,2))</f>
        <v>0</v>
      </c>
      <c r="L187" s="139"/>
      <c r="M187" s="144">
        <f ca="1">M169</f>
        <v>254</v>
      </c>
      <c r="N187" s="144">
        <f>HEX2DEC(MID($D$183,2,2))</f>
        <v>0</v>
      </c>
      <c r="O187" s="139"/>
      <c r="P187" s="139"/>
      <c r="Q187" s="139"/>
      <c r="R187" s="139"/>
      <c r="S187" s="139"/>
      <c r="T187" s="139"/>
      <c r="U187" s="139"/>
      <c r="V187" s="218"/>
    </row>
    <row r="188" spans="2:22" x14ac:dyDescent="0.25">
      <c r="B188" s="216"/>
      <c r="C188" s="3"/>
      <c r="D188" s="139"/>
      <c r="E188" s="139"/>
      <c r="F188" s="139"/>
      <c r="G188" s="3"/>
      <c r="H188" s="139"/>
      <c r="I188" s="139"/>
      <c r="J188" s="139"/>
      <c r="K188" s="139"/>
      <c r="L188" s="139"/>
      <c r="M188" s="139"/>
      <c r="N188" s="139"/>
      <c r="O188" s="3"/>
      <c r="P188" s="139"/>
      <c r="Q188" s="139"/>
      <c r="R188" s="139"/>
      <c r="S188" s="3"/>
      <c r="T188" s="3"/>
      <c r="U188" s="3"/>
      <c r="V188" s="211"/>
    </row>
    <row r="189" spans="2:22" ht="15.75" thickBot="1" x14ac:dyDescent="0.3">
      <c r="B189" s="210"/>
      <c r="C189" s="3"/>
      <c r="D189" s="337" t="s">
        <v>283</v>
      </c>
      <c r="E189" s="337"/>
      <c r="F189" s="139"/>
      <c r="G189" s="337" t="s">
        <v>284</v>
      </c>
      <c r="H189" s="337"/>
      <c r="I189" s="139"/>
      <c r="J189" s="337" t="s">
        <v>285</v>
      </c>
      <c r="K189" s="337"/>
      <c r="L189" s="139"/>
      <c r="M189" s="337" t="s">
        <v>286</v>
      </c>
      <c r="N189" s="337"/>
      <c r="O189" s="3"/>
      <c r="P189" s="139"/>
      <c r="Q189" s="139"/>
      <c r="R189" s="139"/>
      <c r="S189" s="3"/>
      <c r="T189" s="3"/>
      <c r="U189" s="3"/>
      <c r="V189" s="211"/>
    </row>
    <row r="190" spans="2:22" ht="15.75" thickBot="1" x14ac:dyDescent="0.3">
      <c r="B190" s="210"/>
      <c r="C190" s="139" t="s">
        <v>255</v>
      </c>
      <c r="D190" s="375">
        <f ca="1">_xlfn.BITXOR(D187,E187)</f>
        <v>214</v>
      </c>
      <c r="E190" s="375"/>
      <c r="F190" s="3"/>
      <c r="G190" s="339">
        <f ca="1">_xlfn.BITXOR(G187,H187)</f>
        <v>171</v>
      </c>
      <c r="H190" s="339"/>
      <c r="I190" s="3"/>
      <c r="J190" s="339">
        <f ca="1">_xlfn.BITXOR(J187,K187)</f>
        <v>118</v>
      </c>
      <c r="K190" s="339"/>
      <c r="L190" s="3"/>
      <c r="M190" s="339">
        <f ca="1">_xlfn.BITXOR(M187,N187)</f>
        <v>254</v>
      </c>
      <c r="N190" s="339"/>
      <c r="O190" s="3"/>
      <c r="P190" s="3"/>
      <c r="Q190" s="3"/>
      <c r="R190" s="3"/>
      <c r="S190" s="3"/>
      <c r="T190" s="3"/>
      <c r="U190" s="3"/>
      <c r="V190" s="211"/>
    </row>
    <row r="191" spans="2:22" ht="15.75" thickBot="1" x14ac:dyDescent="0.3">
      <c r="B191" s="210"/>
      <c r="C191" s="139" t="s">
        <v>90</v>
      </c>
      <c r="D191" s="365" t="str">
        <f ca="1">DEC2HEX(D190,2)</f>
        <v>D6</v>
      </c>
      <c r="E191" s="365"/>
      <c r="F191" s="3"/>
      <c r="G191" s="365" t="str">
        <f ca="1">DEC2HEX(G190,2)</f>
        <v>AB</v>
      </c>
      <c r="H191" s="365"/>
      <c r="I191" s="3"/>
      <c r="J191" s="365" t="str">
        <f ca="1">DEC2HEX(J190,2)</f>
        <v>76</v>
      </c>
      <c r="K191" s="365"/>
      <c r="L191" s="3"/>
      <c r="M191" s="365" t="str">
        <f ca="1">DEC2HEX(M190,2)</f>
        <v>FE</v>
      </c>
      <c r="N191" s="365"/>
      <c r="O191" s="3"/>
      <c r="P191" s="3"/>
      <c r="Q191" s="3"/>
      <c r="R191" s="3"/>
      <c r="S191" s="3"/>
      <c r="T191" s="3"/>
      <c r="U191" s="3"/>
      <c r="V191" s="211"/>
    </row>
    <row r="192" spans="2:22" s="315" customFormat="1" x14ac:dyDescent="0.25">
      <c r="B192" s="210"/>
      <c r="C192" s="314"/>
      <c r="D192" s="314"/>
      <c r="E192" s="314"/>
      <c r="F192" s="3"/>
      <c r="G192" s="314"/>
      <c r="H192" s="314"/>
      <c r="I192" s="3"/>
      <c r="J192" s="314"/>
      <c r="K192" s="314"/>
      <c r="L192" s="3"/>
      <c r="M192" s="314"/>
      <c r="N192" s="314"/>
      <c r="O192" s="3"/>
      <c r="P192" s="3"/>
      <c r="Q192" s="3"/>
      <c r="R192" s="3"/>
      <c r="S192" s="3"/>
      <c r="T192" s="3"/>
      <c r="U192" s="3"/>
      <c r="V192" s="211"/>
    </row>
    <row r="193" spans="1:23" s="315" customFormat="1" ht="19.5" thickBot="1" x14ac:dyDescent="0.35">
      <c r="B193" s="214" t="s">
        <v>469</v>
      </c>
      <c r="C193" s="350" t="s">
        <v>469</v>
      </c>
      <c r="D193" s="351"/>
      <c r="E193" s="351"/>
      <c r="F193" s="352"/>
      <c r="G193" s="314"/>
      <c r="H193" s="314"/>
      <c r="I193" s="3"/>
      <c r="J193" s="314"/>
      <c r="K193" s="314"/>
      <c r="L193" s="3"/>
      <c r="M193" s="314"/>
      <c r="N193" s="314"/>
      <c r="O193" s="3"/>
      <c r="P193" s="3"/>
      <c r="Q193" s="3"/>
      <c r="R193" s="3"/>
      <c r="S193" s="3"/>
      <c r="T193" s="3"/>
      <c r="U193" s="3"/>
      <c r="V193" s="211"/>
    </row>
    <row r="194" spans="1:23" s="315" customFormat="1" ht="15.75" thickBot="1" x14ac:dyDescent="0.3">
      <c r="B194" s="210"/>
      <c r="C194" s="49" t="s">
        <v>449</v>
      </c>
      <c r="D194" s="49" t="s">
        <v>450</v>
      </c>
      <c r="E194" s="49" t="s">
        <v>430</v>
      </c>
      <c r="F194" s="49" t="s">
        <v>451</v>
      </c>
      <c r="G194" s="314"/>
      <c r="H194" s="314"/>
      <c r="I194" s="3"/>
      <c r="J194" s="314"/>
      <c r="K194" s="314"/>
      <c r="L194" s="3"/>
      <c r="M194" s="314"/>
      <c r="N194" s="314"/>
      <c r="O194" s="3"/>
      <c r="P194" s="3"/>
      <c r="Q194" s="3"/>
      <c r="R194" s="3"/>
      <c r="S194" s="3"/>
      <c r="T194" s="3"/>
      <c r="U194" s="3"/>
      <c r="V194" s="211"/>
    </row>
    <row r="195" spans="1:23" x14ac:dyDescent="0.25">
      <c r="B195" s="210"/>
      <c r="C195" s="58">
        <f ca="1">D190</f>
        <v>214</v>
      </c>
      <c r="D195" s="58">
        <f ca="1">G190</f>
        <v>171</v>
      </c>
      <c r="E195" s="58">
        <f ca="1">J190</f>
        <v>118</v>
      </c>
      <c r="F195" s="56">
        <f ca="1">M190</f>
        <v>254</v>
      </c>
      <c r="G195" s="3"/>
      <c r="H195" s="3"/>
      <c r="I195" s="3"/>
      <c r="J195" s="3"/>
      <c r="K195" s="3"/>
      <c r="L195" s="3"/>
      <c r="M195" s="3"/>
      <c r="N195" s="3"/>
      <c r="O195" s="3"/>
      <c r="P195" s="3"/>
      <c r="Q195" s="3"/>
      <c r="R195" s="3"/>
      <c r="S195" s="3"/>
      <c r="T195" s="3"/>
      <c r="U195" s="3"/>
      <c r="V195" s="211"/>
    </row>
    <row r="196" spans="1:23" s="315" customFormat="1" x14ac:dyDescent="0.25">
      <c r="B196" s="210"/>
      <c r="G196" s="3"/>
      <c r="H196" s="3"/>
      <c r="I196" s="3"/>
      <c r="J196" s="3"/>
      <c r="K196" s="3"/>
      <c r="L196" s="3"/>
      <c r="M196" s="3"/>
      <c r="N196" s="3"/>
      <c r="O196" s="3"/>
      <c r="P196" s="3"/>
      <c r="Q196" s="3"/>
      <c r="R196" s="3"/>
      <c r="S196" s="3"/>
      <c r="T196" s="3"/>
      <c r="U196" s="3"/>
      <c r="V196" s="211"/>
    </row>
    <row r="197" spans="1:23" ht="24" thickBot="1" x14ac:dyDescent="0.4">
      <c r="B197" s="212" t="s">
        <v>73</v>
      </c>
      <c r="C197" s="341" t="s">
        <v>452</v>
      </c>
      <c r="D197" s="342"/>
      <c r="E197" s="342"/>
      <c r="F197" s="343"/>
      <c r="G197" s="344" t="s">
        <v>453</v>
      </c>
      <c r="H197" s="345"/>
      <c r="I197" s="345"/>
      <c r="J197" s="346"/>
      <c r="K197" s="347" t="s">
        <v>454</v>
      </c>
      <c r="L197" s="348"/>
      <c r="M197" s="348"/>
      <c r="N197" s="349"/>
      <c r="O197" s="350" t="s">
        <v>455</v>
      </c>
      <c r="P197" s="351"/>
      <c r="Q197" s="351"/>
      <c r="R197" s="352"/>
      <c r="S197" s="3"/>
      <c r="T197" s="3"/>
      <c r="U197" s="3"/>
      <c r="V197" s="211"/>
    </row>
    <row r="198" spans="1:23" ht="15.75" thickBot="1" x14ac:dyDescent="0.3">
      <c r="B198" s="213"/>
      <c r="C198" s="47" t="s">
        <v>76</v>
      </c>
      <c r="D198" s="47" t="s">
        <v>77</v>
      </c>
      <c r="E198" s="47" t="s">
        <v>78</v>
      </c>
      <c r="F198" s="47" t="s">
        <v>79</v>
      </c>
      <c r="G198" s="48" t="s">
        <v>456</v>
      </c>
      <c r="H198" s="48" t="s">
        <v>457</v>
      </c>
      <c r="I198" s="48" t="s">
        <v>458</v>
      </c>
      <c r="J198" s="48" t="s">
        <v>459</v>
      </c>
      <c r="K198" s="46" t="s">
        <v>460</v>
      </c>
      <c r="L198" s="46" t="s">
        <v>461</v>
      </c>
      <c r="M198" s="46" t="s">
        <v>462</v>
      </c>
      <c r="N198" s="46" t="s">
        <v>463</v>
      </c>
      <c r="O198" s="49" t="s">
        <v>464</v>
      </c>
      <c r="P198" s="49" t="s">
        <v>465</v>
      </c>
      <c r="Q198" s="49" t="s">
        <v>466</v>
      </c>
      <c r="R198" s="49" t="s">
        <v>467</v>
      </c>
      <c r="S198" s="3"/>
      <c r="T198" s="3"/>
      <c r="U198" s="3"/>
      <c r="V198" s="211"/>
    </row>
    <row r="199" spans="1:23" x14ac:dyDescent="0.25">
      <c r="B199" s="210"/>
      <c r="C199" s="57">
        <f ca="1">_xlfn.BITXOR(C195,C155)</f>
        <v>214</v>
      </c>
      <c r="D199" s="57">
        <f ca="1">_xlfn.BITXOR(D195,D155)</f>
        <v>170</v>
      </c>
      <c r="E199" s="57">
        <f ca="1">_xlfn.BITXOR(E195,E155)</f>
        <v>116</v>
      </c>
      <c r="F199" s="57">
        <f ca="1">_xlfn.BITXOR(F195,F155)</f>
        <v>253</v>
      </c>
      <c r="G199" s="59">
        <f t="shared" ref="G199:R199" ca="1" si="300">_xlfn.BITXOR(C199,G155)</f>
        <v>210</v>
      </c>
      <c r="H199" s="59">
        <f t="shared" ca="1" si="300"/>
        <v>175</v>
      </c>
      <c r="I199" s="59">
        <f t="shared" ca="1" si="300"/>
        <v>114</v>
      </c>
      <c r="J199" s="59">
        <f t="shared" ca="1" si="300"/>
        <v>250</v>
      </c>
      <c r="K199" s="70">
        <f t="shared" ca="1" si="300"/>
        <v>218</v>
      </c>
      <c r="L199" s="54">
        <f t="shared" ca="1" si="300"/>
        <v>166</v>
      </c>
      <c r="M199" s="50">
        <f t="shared" ca="1" si="300"/>
        <v>120</v>
      </c>
      <c r="N199" s="54">
        <f t="shared" ca="1" si="300"/>
        <v>241</v>
      </c>
      <c r="O199" s="58">
        <f t="shared" ca="1" si="300"/>
        <v>214</v>
      </c>
      <c r="P199" s="58">
        <f t="shared" ca="1" si="300"/>
        <v>171</v>
      </c>
      <c r="Q199" s="58">
        <f t="shared" ca="1" si="300"/>
        <v>118</v>
      </c>
      <c r="R199" s="58">
        <f t="shared" ca="1" si="300"/>
        <v>254</v>
      </c>
      <c r="S199" s="3"/>
      <c r="T199" s="3"/>
      <c r="U199" s="3"/>
      <c r="V199" s="211"/>
    </row>
    <row r="200" spans="1:23" x14ac:dyDescent="0.25">
      <c r="B200" s="210"/>
      <c r="C200" s="3"/>
      <c r="D200" s="3"/>
      <c r="E200" s="3"/>
      <c r="F200" s="3"/>
      <c r="G200" s="3"/>
      <c r="H200" s="3"/>
      <c r="I200" s="3"/>
      <c r="J200" s="3"/>
      <c r="K200" s="3"/>
      <c r="L200" s="3"/>
      <c r="M200" s="3"/>
      <c r="N200" s="3"/>
      <c r="O200" s="3"/>
      <c r="P200" s="3"/>
      <c r="Q200" s="3"/>
      <c r="R200" s="3"/>
      <c r="S200" s="3"/>
      <c r="T200" s="3"/>
      <c r="U200" s="3"/>
      <c r="V200" s="211"/>
    </row>
    <row r="201" spans="1:23" ht="15.75" thickBot="1" x14ac:dyDescent="0.3">
      <c r="B201" s="219"/>
      <c r="C201" s="220"/>
      <c r="D201" s="220"/>
      <c r="E201" s="220"/>
      <c r="F201" s="220"/>
      <c r="G201" s="220"/>
      <c r="H201" s="220"/>
      <c r="I201" s="220"/>
      <c r="J201" s="220"/>
      <c r="K201" s="220"/>
      <c r="L201" s="220"/>
      <c r="M201" s="220"/>
      <c r="N201" s="220"/>
      <c r="O201" s="220"/>
      <c r="P201" s="220"/>
      <c r="Q201" s="220"/>
      <c r="R201" s="220"/>
      <c r="S201" s="220"/>
      <c r="T201" s="220"/>
      <c r="U201" s="220"/>
      <c r="V201" s="221"/>
    </row>
    <row r="202" spans="1:23" ht="16.5" thickTop="1" thickBot="1" x14ac:dyDescent="0.3">
      <c r="A202" s="3"/>
      <c r="B202" s="3"/>
      <c r="C202" s="3"/>
      <c r="D202" s="3"/>
      <c r="E202" s="3"/>
      <c r="F202" s="3"/>
      <c r="G202" s="3"/>
      <c r="H202" s="3"/>
      <c r="I202" s="3"/>
      <c r="J202" s="3"/>
      <c r="K202" s="3"/>
      <c r="L202" s="3"/>
      <c r="M202" s="3"/>
      <c r="N202" s="3"/>
      <c r="O202" s="3"/>
      <c r="P202" s="3"/>
      <c r="Q202" s="3"/>
      <c r="R202" s="3"/>
      <c r="S202" s="3"/>
      <c r="T202" s="3"/>
      <c r="U202" s="3"/>
      <c r="V202" s="3"/>
      <c r="W202" s="3"/>
    </row>
    <row r="203" spans="1:23" ht="29.25" thickTop="1" x14ac:dyDescent="0.45">
      <c r="A203" s="3"/>
      <c r="B203" s="307" t="s">
        <v>321</v>
      </c>
      <c r="C203" s="222"/>
      <c r="D203" s="222"/>
      <c r="E203" s="222"/>
      <c r="F203" s="222"/>
      <c r="G203" s="222"/>
      <c r="H203" s="222"/>
      <c r="I203" s="222"/>
      <c r="J203" s="222"/>
      <c r="K203" s="222"/>
      <c r="L203" s="222"/>
      <c r="M203" s="222"/>
      <c r="N203" s="222"/>
      <c r="O203" s="222"/>
      <c r="P203" s="222"/>
      <c r="Q203" s="222"/>
      <c r="R203" s="222"/>
      <c r="S203" s="223"/>
      <c r="T203" s="3"/>
      <c r="U203" s="3"/>
      <c r="V203" s="3"/>
    </row>
    <row r="204" spans="1:23" x14ac:dyDescent="0.25">
      <c r="A204" s="3"/>
      <c r="B204" s="224"/>
      <c r="C204" s="75" t="str" cm="1">
        <f t="array" ref="C204:F204">TRANSPOSE(C212:C215)</f>
        <v>ARK1(M(S(B_0)))</v>
      </c>
      <c r="D204" s="75" t="str">
        <v>ARK1(M(S(B_5)))</v>
      </c>
      <c r="E204" s="75" t="str">
        <v>ARK1(M(S(B_10)))</v>
      </c>
      <c r="F204" s="75" t="str">
        <v>ARK1(M(S(B_15)))</v>
      </c>
      <c r="G204" s="75" t="str" cm="1">
        <f t="array" ref="G204:J204">TRANSPOSE(D212:D215)</f>
        <v>ARK1(M(S(B_4)))</v>
      </c>
      <c r="H204" s="75" t="str">
        <v>ARK1(M(S(B_9)))</v>
      </c>
      <c r="I204" s="75" t="str">
        <v>ARK1(M(S(B_14)))</v>
      </c>
      <c r="J204" s="75" t="str">
        <v>ARK1(M(S(B_3)))</v>
      </c>
      <c r="K204" s="75" t="str" cm="1">
        <f t="array" ref="K204:N204">TRANSPOSE(E212:E215)</f>
        <v>ARK1(M(S(B_8)))</v>
      </c>
      <c r="L204" s="75" t="str">
        <v>ARK1(M(S(B_13)))</v>
      </c>
      <c r="M204" s="75" t="str">
        <v>ARK1(M(S(B_2)))</v>
      </c>
      <c r="N204" s="75" t="str">
        <v>ARK1(M(S(B_7)))</v>
      </c>
      <c r="O204" s="75" t="str" cm="1">
        <f t="array" ref="O204:R204">TRANSPOSE(F212:F215)</f>
        <v>ARK1(M(S(B_12)))</v>
      </c>
      <c r="P204" s="75" t="str">
        <v>ARK1(M(S(B_1)))</v>
      </c>
      <c r="Q204" s="75" t="str">
        <v>ARK1(M(S(B_6)))</v>
      </c>
      <c r="R204" s="75" t="str">
        <v>ARK1(M(S(B_11)))</v>
      </c>
      <c r="S204" s="309"/>
      <c r="T204" s="3"/>
      <c r="U204" s="190"/>
      <c r="V204" s="3"/>
    </row>
    <row r="205" spans="1:23" s="125" customFormat="1" x14ac:dyDescent="0.25">
      <c r="A205" s="139"/>
      <c r="B205" s="226" t="s">
        <v>322</v>
      </c>
      <c r="C205" s="139" cm="1">
        <f t="array" aca="1" ref="C205:F205" ca="1">TRANSPOSE(M143:M146)</f>
        <v>208</v>
      </c>
      <c r="D205" s="139">
        <f ca="1"/>
        <v>26</v>
      </c>
      <c r="E205" s="139">
        <f ca="1"/>
        <v>132</v>
      </c>
      <c r="F205" s="139">
        <f ca="1"/>
        <v>52</v>
      </c>
      <c r="G205" s="139" cm="1">
        <f t="array" aca="1" ref="G205:J205" ca="1">TRANSPOSE(N143:N146)</f>
        <v>84</v>
      </c>
      <c r="H205" s="139">
        <f ca="1"/>
        <v>144</v>
      </c>
      <c r="I205" s="139">
        <f ca="1"/>
        <v>173</v>
      </c>
      <c r="J205" s="139">
        <f ca="1"/>
        <v>176</v>
      </c>
      <c r="K205" s="139" cm="1">
        <f t="array" aca="1" ref="K205:N205" ca="1">TRANSPOSE(O143:O146)</f>
        <v>84</v>
      </c>
      <c r="L205" s="139">
        <f ca="1"/>
        <v>160</v>
      </c>
      <c r="M205" s="139">
        <f ca="1"/>
        <v>16</v>
      </c>
      <c r="N205" s="139">
        <f ca="1"/>
        <v>198</v>
      </c>
      <c r="O205" s="139" cm="1">
        <f t="array" aca="1" ref="O205:R205" ca="1">TRANSPOSE(P143:P146)</f>
        <v>185</v>
      </c>
      <c r="P205" s="139">
        <f ca="1"/>
        <v>4</v>
      </c>
      <c r="Q205" s="139">
        <f ca="1"/>
        <v>245</v>
      </c>
      <c r="R205" s="151">
        <f ca="1"/>
        <v>244</v>
      </c>
      <c r="S205" s="225"/>
      <c r="T205" s="139"/>
      <c r="U205" s="190"/>
      <c r="V205" s="139"/>
    </row>
    <row r="206" spans="1:23" s="125" customFormat="1" x14ac:dyDescent="0.25">
      <c r="A206" s="139"/>
      <c r="B206" s="226" t="s">
        <v>73</v>
      </c>
      <c r="C206" s="145">
        <f ca="1">C199</f>
        <v>214</v>
      </c>
      <c r="D206" s="145">
        <f t="shared" ref="D206:R206" ca="1" si="301">D199</f>
        <v>170</v>
      </c>
      <c r="E206" s="145">
        <f t="shared" ca="1" si="301"/>
        <v>116</v>
      </c>
      <c r="F206" s="145">
        <f t="shared" ca="1" si="301"/>
        <v>253</v>
      </c>
      <c r="G206" s="145">
        <f t="shared" ca="1" si="301"/>
        <v>210</v>
      </c>
      <c r="H206" s="145">
        <f t="shared" ca="1" si="301"/>
        <v>175</v>
      </c>
      <c r="I206" s="145">
        <f t="shared" ca="1" si="301"/>
        <v>114</v>
      </c>
      <c r="J206" s="145">
        <f t="shared" ca="1" si="301"/>
        <v>250</v>
      </c>
      <c r="K206" s="145">
        <f t="shared" ca="1" si="301"/>
        <v>218</v>
      </c>
      <c r="L206" s="145">
        <f t="shared" ca="1" si="301"/>
        <v>166</v>
      </c>
      <c r="M206" s="145">
        <f t="shared" ca="1" si="301"/>
        <v>120</v>
      </c>
      <c r="N206" s="145">
        <f t="shared" ca="1" si="301"/>
        <v>241</v>
      </c>
      <c r="O206" s="145">
        <f t="shared" ca="1" si="301"/>
        <v>214</v>
      </c>
      <c r="P206" s="145">
        <f t="shared" ca="1" si="301"/>
        <v>171</v>
      </c>
      <c r="Q206" s="145">
        <f t="shared" ca="1" si="301"/>
        <v>118</v>
      </c>
      <c r="R206" s="154">
        <f t="shared" ca="1" si="301"/>
        <v>254</v>
      </c>
      <c r="S206" s="225"/>
      <c r="T206" s="139"/>
      <c r="U206" s="139"/>
      <c r="V206" s="139"/>
    </row>
    <row r="207" spans="1:23" s="125" customFormat="1" x14ac:dyDescent="0.25">
      <c r="A207" s="139"/>
      <c r="B207" s="226" t="s">
        <v>72</v>
      </c>
      <c r="C207" s="139">
        <f ca="1">_xlfn.BITXOR(C205,C206)</f>
        <v>6</v>
      </c>
      <c r="D207" s="139">
        <f t="shared" ref="D207:R207" ca="1" si="302">_xlfn.BITXOR(D205,D206)</f>
        <v>176</v>
      </c>
      <c r="E207" s="139">
        <f t="shared" ca="1" si="302"/>
        <v>240</v>
      </c>
      <c r="F207" s="139">
        <f t="shared" ca="1" si="302"/>
        <v>201</v>
      </c>
      <c r="G207" s="139">
        <f t="shared" ca="1" si="302"/>
        <v>134</v>
      </c>
      <c r="H207" s="139">
        <f t="shared" ca="1" si="302"/>
        <v>63</v>
      </c>
      <c r="I207" s="139">
        <f t="shared" ca="1" si="302"/>
        <v>223</v>
      </c>
      <c r="J207" s="139">
        <f t="shared" ca="1" si="302"/>
        <v>74</v>
      </c>
      <c r="K207" s="139">
        <f t="shared" ca="1" si="302"/>
        <v>142</v>
      </c>
      <c r="L207" s="139">
        <f t="shared" ca="1" si="302"/>
        <v>6</v>
      </c>
      <c r="M207" s="139">
        <f t="shared" ca="1" si="302"/>
        <v>104</v>
      </c>
      <c r="N207" s="139">
        <f t="shared" ca="1" si="302"/>
        <v>55</v>
      </c>
      <c r="O207" s="139">
        <f t="shared" ca="1" si="302"/>
        <v>111</v>
      </c>
      <c r="P207" s="139">
        <f t="shared" ca="1" si="302"/>
        <v>175</v>
      </c>
      <c r="Q207" s="139">
        <f t="shared" ca="1" si="302"/>
        <v>131</v>
      </c>
      <c r="R207" s="151">
        <f t="shared" ca="1" si="302"/>
        <v>10</v>
      </c>
      <c r="S207" s="225"/>
      <c r="T207" s="139"/>
      <c r="U207" s="139"/>
      <c r="V207" s="139"/>
    </row>
    <row r="208" spans="1:23" s="137" customFormat="1" ht="15.75" thickBot="1" x14ac:dyDescent="0.3">
      <c r="A208" s="139"/>
      <c r="B208" s="227"/>
      <c r="C208" s="228"/>
      <c r="D208" s="228"/>
      <c r="E208" s="228"/>
      <c r="F208" s="228"/>
      <c r="G208" s="228"/>
      <c r="H208" s="228"/>
      <c r="I208" s="228"/>
      <c r="J208" s="228"/>
      <c r="K208" s="228"/>
      <c r="L208" s="228"/>
      <c r="M208" s="228"/>
      <c r="N208" s="228"/>
      <c r="O208" s="228"/>
      <c r="P208" s="228"/>
      <c r="Q208" s="228"/>
      <c r="R208" s="228"/>
      <c r="S208" s="229"/>
      <c r="T208" s="139"/>
      <c r="U208" s="139"/>
      <c r="V208" s="139"/>
    </row>
    <row r="209" spans="1:22" ht="16.5" thickTop="1" thickBot="1" x14ac:dyDescent="0.3">
      <c r="A209" s="3"/>
      <c r="B209" s="3"/>
      <c r="C209" s="3"/>
      <c r="D209" s="3"/>
      <c r="E209" s="139"/>
      <c r="F209" s="139"/>
      <c r="G209" s="139"/>
      <c r="H209" s="139"/>
      <c r="I209" s="3"/>
      <c r="J209" s="3"/>
      <c r="K209" s="3"/>
      <c r="L209" s="3"/>
      <c r="M209" s="3"/>
      <c r="N209" s="3"/>
      <c r="O209" s="139"/>
      <c r="P209" s="139"/>
      <c r="Q209" s="139"/>
      <c r="R209" s="139"/>
      <c r="S209" s="3"/>
      <c r="T209" s="3"/>
      <c r="U209" s="3"/>
      <c r="V209" s="3"/>
    </row>
    <row r="210" spans="1:22" ht="29.25" thickTop="1" x14ac:dyDescent="0.45">
      <c r="A210" s="3"/>
      <c r="B210" s="308" t="s">
        <v>435</v>
      </c>
      <c r="C210" s="200"/>
      <c r="D210" s="200"/>
      <c r="E210" s="200"/>
      <c r="F210" s="200"/>
      <c r="G210" s="200"/>
      <c r="H210" s="200"/>
      <c r="I210" s="200"/>
      <c r="J210" s="200"/>
      <c r="K210" s="200"/>
      <c r="L210" s="200"/>
      <c r="M210" s="200"/>
      <c r="N210" s="200"/>
      <c r="O210" s="200"/>
      <c r="P210" s="200"/>
      <c r="Q210" s="200"/>
      <c r="R210" s="200"/>
      <c r="S210" s="200"/>
      <c r="T210" s="200"/>
      <c r="U210" s="200"/>
      <c r="V210" s="201"/>
    </row>
    <row r="211" spans="1:22" ht="15.75" thickBot="1" x14ac:dyDescent="0.3">
      <c r="A211" s="3"/>
      <c r="B211" s="202"/>
      <c r="C211" s="3"/>
      <c r="D211" s="3"/>
      <c r="E211" s="3"/>
      <c r="F211" s="3"/>
      <c r="G211" s="3"/>
      <c r="H211" s="339" t="s">
        <v>256</v>
      </c>
      <c r="I211" s="339"/>
      <c r="J211" s="339"/>
      <c r="K211" s="339"/>
      <c r="L211" s="3"/>
      <c r="M211" s="339" t="s">
        <v>257</v>
      </c>
      <c r="N211" s="339"/>
      <c r="O211" s="339"/>
      <c r="P211" s="339"/>
      <c r="Q211" s="3"/>
      <c r="R211" s="339" t="s">
        <v>258</v>
      </c>
      <c r="S211" s="339"/>
      <c r="T211" s="339"/>
      <c r="U211" s="339"/>
      <c r="V211" s="203"/>
    </row>
    <row r="212" spans="1:22" x14ac:dyDescent="0.25">
      <c r="A212" s="3"/>
      <c r="B212" s="205"/>
      <c r="C212" s="155" t="s">
        <v>323</v>
      </c>
      <c r="D212" s="151" t="s">
        <v>327</v>
      </c>
      <c r="E212" s="151" t="s">
        <v>331</v>
      </c>
      <c r="F212" s="11" t="s">
        <v>335</v>
      </c>
      <c r="G212" s="7"/>
      <c r="H212" s="155" t="str">
        <f ca="1">_xlfn.BASE(M212,2,8)</f>
        <v>00000110</v>
      </c>
      <c r="I212" s="151" t="str">
        <f t="shared" ref="I212:I215" ca="1" si="303">_xlfn.BASE(N212,2,8)</f>
        <v>10000110</v>
      </c>
      <c r="J212" s="151" t="str">
        <f t="shared" ref="J212:J215" ca="1" si="304">_xlfn.BASE(O212,2,8)</f>
        <v>10001110</v>
      </c>
      <c r="K212" s="11" t="str">
        <f t="shared" ref="K212:K215" ca="1" si="305">_xlfn.BASE(P212,2,8)</f>
        <v>01101111</v>
      </c>
      <c r="L212" s="7"/>
      <c r="M212" s="155">
        <f ca="1">C207</f>
        <v>6</v>
      </c>
      <c r="N212" s="151">
        <f ca="1">G207</f>
        <v>134</v>
      </c>
      <c r="O212" s="151">
        <f ca="1">K207</f>
        <v>142</v>
      </c>
      <c r="P212" s="11">
        <f ca="1">O207</f>
        <v>111</v>
      </c>
      <c r="Q212" s="7"/>
      <c r="R212" s="155" t="str">
        <f ca="1">_xlfn.BASE(M212,16,2)</f>
        <v>06</v>
      </c>
      <c r="S212" s="151" t="str">
        <f t="shared" ref="S212:S215" ca="1" si="306">_xlfn.BASE(N212,16,2)</f>
        <v>86</v>
      </c>
      <c r="T212" s="151" t="str">
        <f t="shared" ref="T212:T215" ca="1" si="307">_xlfn.BASE(O212,16,2)</f>
        <v>8E</v>
      </c>
      <c r="U212" s="11" t="str">
        <f t="shared" ref="U212:U215" ca="1" si="308">_xlfn.BASE(P212,16,2)</f>
        <v>6F</v>
      </c>
      <c r="V212" s="203"/>
    </row>
    <row r="213" spans="1:22" ht="21" x14ac:dyDescent="0.35">
      <c r="A213" s="3"/>
      <c r="B213" s="205"/>
      <c r="C213" s="151" t="s">
        <v>324</v>
      </c>
      <c r="D213" s="151" t="s">
        <v>328</v>
      </c>
      <c r="E213" s="151" t="s">
        <v>332</v>
      </c>
      <c r="F213" s="88" t="s">
        <v>336</v>
      </c>
      <c r="G213" s="19" t="s">
        <v>8</v>
      </c>
      <c r="H213" s="151" t="str">
        <f t="shared" ref="H213:H215" ca="1" si="309">_xlfn.BASE(M213,2,8)</f>
        <v>10110000</v>
      </c>
      <c r="I213" s="151" t="str">
        <f t="shared" ca="1" si="303"/>
        <v>00111111</v>
      </c>
      <c r="J213" s="151" t="str">
        <f t="shared" ca="1" si="304"/>
        <v>00000110</v>
      </c>
      <c r="K213" s="88" t="str">
        <f t="shared" ca="1" si="305"/>
        <v>10101111</v>
      </c>
      <c r="L213" s="18" t="s">
        <v>8</v>
      </c>
      <c r="M213" s="151">
        <f ca="1">D207</f>
        <v>176</v>
      </c>
      <c r="N213" s="151">
        <f ca="1">H207</f>
        <v>63</v>
      </c>
      <c r="O213" s="151">
        <f ca="1">L207</f>
        <v>6</v>
      </c>
      <c r="P213" s="88">
        <f ca="1">P207</f>
        <v>175</v>
      </c>
      <c r="Q213" s="17" t="s">
        <v>8</v>
      </c>
      <c r="R213" s="151" t="str">
        <f ca="1">_xlfn.BASE(M213,16,2)</f>
        <v>B0</v>
      </c>
      <c r="S213" s="151" t="str">
        <f t="shared" ca="1" si="306"/>
        <v>3F</v>
      </c>
      <c r="T213" s="151" t="str">
        <f t="shared" ca="1" si="307"/>
        <v>06</v>
      </c>
      <c r="U213" s="88" t="str">
        <f t="shared" ca="1" si="308"/>
        <v>AF</v>
      </c>
      <c r="V213" s="203"/>
    </row>
    <row r="214" spans="1:22" x14ac:dyDescent="0.25">
      <c r="A214" s="3"/>
      <c r="B214" s="205"/>
      <c r="C214" s="151" t="s">
        <v>325</v>
      </c>
      <c r="D214" s="151" t="s">
        <v>329</v>
      </c>
      <c r="E214" s="151" t="s">
        <v>333</v>
      </c>
      <c r="F214" s="88" t="s">
        <v>337</v>
      </c>
      <c r="G214" s="7"/>
      <c r="H214" s="151" t="str">
        <f t="shared" ca="1" si="309"/>
        <v>11110000</v>
      </c>
      <c r="I214" s="151" t="str">
        <f t="shared" ca="1" si="303"/>
        <v>11011111</v>
      </c>
      <c r="J214" s="151" t="str">
        <f t="shared" ca="1" si="304"/>
        <v>01101000</v>
      </c>
      <c r="K214" s="88" t="str">
        <f t="shared" ca="1" si="305"/>
        <v>10000011</v>
      </c>
      <c r="L214" s="7"/>
      <c r="M214" s="151">
        <f ca="1">E207</f>
        <v>240</v>
      </c>
      <c r="N214" s="151">
        <f ca="1">I207</f>
        <v>223</v>
      </c>
      <c r="O214" s="151">
        <f ca="1">M207</f>
        <v>104</v>
      </c>
      <c r="P214" s="88">
        <f ca="1">Q207</f>
        <v>131</v>
      </c>
      <c r="Q214" s="7"/>
      <c r="R214" s="151" t="str">
        <f ca="1">_xlfn.BASE(M214,16,2)</f>
        <v>F0</v>
      </c>
      <c r="S214" s="151" t="str">
        <f t="shared" ca="1" si="306"/>
        <v>DF</v>
      </c>
      <c r="T214" s="151" t="str">
        <f t="shared" ca="1" si="307"/>
        <v>68</v>
      </c>
      <c r="U214" s="88" t="str">
        <f t="shared" ca="1" si="308"/>
        <v>83</v>
      </c>
      <c r="V214" s="203"/>
    </row>
    <row r="215" spans="1:22" ht="15.75" thickBot="1" x14ac:dyDescent="0.3">
      <c r="A215" s="3"/>
      <c r="B215" s="205"/>
      <c r="C215" s="16" t="s">
        <v>326</v>
      </c>
      <c r="D215" s="151" t="s">
        <v>330</v>
      </c>
      <c r="E215" s="151" t="s">
        <v>334</v>
      </c>
      <c r="F215" s="88" t="s">
        <v>338</v>
      </c>
      <c r="G215" s="7"/>
      <c r="H215" s="16" t="str">
        <f t="shared" ca="1" si="309"/>
        <v>11001001</v>
      </c>
      <c r="I215" s="151" t="str">
        <f t="shared" ca="1" si="303"/>
        <v>01001010</v>
      </c>
      <c r="J215" s="151" t="str">
        <f t="shared" ca="1" si="304"/>
        <v>00110111</v>
      </c>
      <c r="K215" s="14" t="str">
        <f t="shared" ca="1" si="305"/>
        <v>00001010</v>
      </c>
      <c r="L215" s="7"/>
      <c r="M215" s="16">
        <f ca="1">F207</f>
        <v>201</v>
      </c>
      <c r="N215" s="151">
        <f ca="1">J207</f>
        <v>74</v>
      </c>
      <c r="O215" s="151">
        <f ca="1">N207</f>
        <v>55</v>
      </c>
      <c r="P215" s="14">
        <f ca="1">R207</f>
        <v>10</v>
      </c>
      <c r="Q215" s="7"/>
      <c r="R215" s="16" t="str">
        <f t="shared" ref="R215" ca="1" si="310">_xlfn.BASE(M215,16,2)</f>
        <v>C9</v>
      </c>
      <c r="S215" s="151" t="str">
        <f t="shared" ca="1" si="306"/>
        <v>4A</v>
      </c>
      <c r="T215" s="151" t="str">
        <f t="shared" ca="1" si="307"/>
        <v>37</v>
      </c>
      <c r="U215" s="14" t="str">
        <f t="shared" ca="1" si="308"/>
        <v>0A</v>
      </c>
      <c r="V215" s="203"/>
    </row>
    <row r="216" spans="1:22" ht="26.25" x14ac:dyDescent="0.4">
      <c r="A216" s="3"/>
      <c r="B216" s="303"/>
      <c r="C216" s="3"/>
      <c r="D216" s="3"/>
      <c r="E216" s="3"/>
      <c r="F216" s="6"/>
      <c r="G216" s="3"/>
      <c r="H216" s="3"/>
      <c r="I216" s="3"/>
      <c r="J216" s="3"/>
      <c r="K216" s="3"/>
      <c r="L216" s="3"/>
      <c r="M216" s="3"/>
      <c r="N216" s="3"/>
      <c r="O216" s="3"/>
      <c r="P216" s="3"/>
      <c r="Q216" s="3"/>
      <c r="R216" s="3"/>
      <c r="S216" s="3"/>
      <c r="T216" s="3"/>
      <c r="U216" s="3"/>
      <c r="V216" s="203"/>
    </row>
    <row r="217" spans="1:22" ht="23.25" x14ac:dyDescent="0.35">
      <c r="B217" s="304" t="s">
        <v>339</v>
      </c>
      <c r="C217" s="3"/>
      <c r="D217" s="3"/>
      <c r="E217" s="3"/>
      <c r="F217" s="3"/>
      <c r="G217" s="3"/>
      <c r="H217" s="3"/>
      <c r="I217" s="3"/>
      <c r="J217" s="3"/>
      <c r="K217" s="3"/>
      <c r="L217" s="3"/>
      <c r="M217" s="3"/>
      <c r="N217" s="3"/>
      <c r="O217" s="3"/>
      <c r="P217" s="3"/>
      <c r="Q217" s="3"/>
      <c r="R217" s="3"/>
      <c r="S217" s="3"/>
      <c r="T217" s="3"/>
      <c r="U217" s="3"/>
      <c r="V217" s="203"/>
    </row>
    <row r="218" spans="1:22" x14ac:dyDescent="0.25">
      <c r="B218" s="202"/>
      <c r="C218" s="75" t="s">
        <v>323</v>
      </c>
      <c r="D218" s="75" t="s">
        <v>324</v>
      </c>
      <c r="E218" s="75" t="s">
        <v>325</v>
      </c>
      <c r="F218" s="75" t="s">
        <v>326</v>
      </c>
      <c r="G218" s="75" t="s">
        <v>327</v>
      </c>
      <c r="H218" s="75" t="s">
        <v>328</v>
      </c>
      <c r="I218" s="75" t="s">
        <v>329</v>
      </c>
      <c r="J218" s="75" t="s">
        <v>330</v>
      </c>
      <c r="K218" s="75" t="s">
        <v>331</v>
      </c>
      <c r="L218" s="75" t="s">
        <v>332</v>
      </c>
      <c r="M218" s="75" t="s">
        <v>333</v>
      </c>
      <c r="N218" s="75" t="s">
        <v>334</v>
      </c>
      <c r="O218" s="75" t="s">
        <v>335</v>
      </c>
      <c r="P218" s="75" t="s">
        <v>336</v>
      </c>
      <c r="Q218" s="75" t="s">
        <v>337</v>
      </c>
      <c r="R218" s="75" t="s">
        <v>338</v>
      </c>
      <c r="S218" s="3"/>
      <c r="T218" s="3"/>
      <c r="U218" s="3"/>
      <c r="V218" s="203"/>
    </row>
    <row r="219" spans="1:22" ht="21" x14ac:dyDescent="0.35">
      <c r="A219" s="3"/>
      <c r="B219" s="204" t="s">
        <v>491</v>
      </c>
      <c r="C219" s="151">
        <f t="shared" ref="C219:R219" ca="1" si="311">C207</f>
        <v>6</v>
      </c>
      <c r="D219" s="151">
        <f t="shared" ca="1" si="311"/>
        <v>176</v>
      </c>
      <c r="E219" s="151">
        <f t="shared" ca="1" si="311"/>
        <v>240</v>
      </c>
      <c r="F219" s="151">
        <f t="shared" ca="1" si="311"/>
        <v>201</v>
      </c>
      <c r="G219" s="151">
        <f t="shared" ca="1" si="311"/>
        <v>134</v>
      </c>
      <c r="H219" s="151">
        <f t="shared" ca="1" si="311"/>
        <v>63</v>
      </c>
      <c r="I219" s="151">
        <f t="shared" ca="1" si="311"/>
        <v>223</v>
      </c>
      <c r="J219" s="151">
        <f t="shared" ca="1" si="311"/>
        <v>74</v>
      </c>
      <c r="K219" s="151">
        <f t="shared" ca="1" si="311"/>
        <v>142</v>
      </c>
      <c r="L219" s="151">
        <f t="shared" ca="1" si="311"/>
        <v>6</v>
      </c>
      <c r="M219" s="151">
        <f t="shared" ca="1" si="311"/>
        <v>104</v>
      </c>
      <c r="N219" s="151">
        <f t="shared" ca="1" si="311"/>
        <v>55</v>
      </c>
      <c r="O219" s="151">
        <f t="shared" ca="1" si="311"/>
        <v>111</v>
      </c>
      <c r="P219" s="151">
        <f t="shared" ca="1" si="311"/>
        <v>175</v>
      </c>
      <c r="Q219" s="151">
        <f t="shared" ca="1" si="311"/>
        <v>131</v>
      </c>
      <c r="R219" s="151">
        <f t="shared" ca="1" si="311"/>
        <v>10</v>
      </c>
      <c r="S219" s="3"/>
      <c r="T219" s="3"/>
      <c r="U219" s="3"/>
      <c r="V219" s="203"/>
    </row>
    <row r="220" spans="1:22" ht="21" x14ac:dyDescent="0.35">
      <c r="A220" s="3"/>
      <c r="B220" s="204" t="s">
        <v>433</v>
      </c>
      <c r="C220" s="151" t="str">
        <f ca="1">CHAR(C219)</f>
        <v>_x0006_</v>
      </c>
      <c r="D220" s="151" t="str">
        <f t="shared" ref="D220:R220" ca="1" si="312">CHAR(D219)</f>
        <v>°</v>
      </c>
      <c r="E220" s="151" t="str">
        <f t="shared" ca="1" si="312"/>
        <v>ð</v>
      </c>
      <c r="F220" s="151" t="str">
        <f t="shared" ca="1" si="312"/>
        <v>É</v>
      </c>
      <c r="G220" s="151" t="str">
        <f t="shared" ca="1" si="312"/>
        <v>†</v>
      </c>
      <c r="H220" s="151" t="str">
        <f t="shared" ca="1" si="312"/>
        <v>?</v>
      </c>
      <c r="I220" s="151" t="str">
        <f t="shared" ca="1" si="312"/>
        <v>ß</v>
      </c>
      <c r="J220" s="151" t="str">
        <f t="shared" ca="1" si="312"/>
        <v>J</v>
      </c>
      <c r="K220" s="151" t="str">
        <f t="shared" ca="1" si="312"/>
        <v>Ž</v>
      </c>
      <c r="L220" s="151" t="str">
        <f t="shared" ca="1" si="312"/>
        <v>_x0006_</v>
      </c>
      <c r="M220" s="151" t="str">
        <f t="shared" ca="1" si="312"/>
        <v>h</v>
      </c>
      <c r="N220" s="151" t="str">
        <f t="shared" ca="1" si="312"/>
        <v>7</v>
      </c>
      <c r="O220" s="151" t="str">
        <f t="shared" ca="1" si="312"/>
        <v>o</v>
      </c>
      <c r="P220" s="151" t="str">
        <f t="shared" ca="1" si="312"/>
        <v>¯</v>
      </c>
      <c r="Q220" s="151" t="str">
        <f t="shared" ca="1" si="312"/>
        <v>ƒ</v>
      </c>
      <c r="R220" s="151" t="str">
        <f t="shared" ca="1" si="312"/>
        <v xml:space="preserve">
</v>
      </c>
      <c r="S220" s="3"/>
      <c r="T220" s="3"/>
      <c r="U220" s="3"/>
      <c r="V220" s="203"/>
    </row>
    <row r="221" spans="1:22" x14ac:dyDescent="0.25">
      <c r="B221" s="202"/>
      <c r="C221" s="3"/>
      <c r="D221" s="3"/>
      <c r="E221" s="3"/>
      <c r="F221" s="3"/>
      <c r="G221" s="3"/>
      <c r="H221" s="3"/>
      <c r="I221" s="3"/>
      <c r="J221" s="3"/>
      <c r="K221" s="3"/>
      <c r="L221" s="3"/>
      <c r="M221" s="3"/>
      <c r="N221" s="3"/>
      <c r="O221" s="3"/>
      <c r="P221" s="3"/>
      <c r="Q221" s="3"/>
      <c r="R221" s="3"/>
      <c r="S221" s="3"/>
      <c r="T221" s="3"/>
      <c r="U221" s="3"/>
      <c r="V221" s="203"/>
    </row>
    <row r="222" spans="1:22" x14ac:dyDescent="0.25">
      <c r="B222" s="202"/>
      <c r="C222" s="3"/>
      <c r="D222" s="3"/>
      <c r="E222" s="3"/>
      <c r="F222" s="3"/>
      <c r="G222" s="3"/>
      <c r="H222" s="3"/>
      <c r="I222" s="3"/>
      <c r="J222" s="3"/>
      <c r="K222" s="3"/>
      <c r="L222" s="3"/>
      <c r="M222" s="3"/>
      <c r="N222" s="3"/>
      <c r="O222" s="3"/>
      <c r="P222" s="3"/>
      <c r="Q222" s="3"/>
      <c r="R222" s="3"/>
      <c r="S222" s="3"/>
      <c r="T222" s="3"/>
      <c r="U222" s="3"/>
      <c r="V222" s="203"/>
    </row>
    <row r="223" spans="1:22" ht="29.25" thickBot="1" x14ac:dyDescent="0.5">
      <c r="B223" s="305" t="s">
        <v>340</v>
      </c>
      <c r="C223" s="374" t="str">
        <f ca="1">_xlfn.CONCAT(C220:R220)</f>
        <v xml:space="preserve">_x0006_°ðÉ†?ßJŽ_x0006_h7o¯ƒ
</v>
      </c>
      <c r="D223" s="374"/>
      <c r="E223" s="231"/>
      <c r="F223" s="231"/>
      <c r="G223" s="231"/>
      <c r="H223" s="231"/>
      <c r="I223" s="231"/>
      <c r="J223" s="231"/>
      <c r="K223" s="231"/>
      <c r="L223" s="231"/>
      <c r="M223" s="231"/>
      <c r="N223" s="231"/>
      <c r="O223" s="231"/>
      <c r="P223" s="231"/>
      <c r="Q223" s="231"/>
      <c r="R223" s="231"/>
      <c r="S223" s="231"/>
      <c r="T223" s="231"/>
      <c r="U223" s="231"/>
      <c r="V223" s="232"/>
    </row>
    <row r="224" spans="1:22" ht="15.75" thickTop="1" x14ac:dyDescent="0.25"/>
    <row r="226" spans="2:4" ht="26.25" x14ac:dyDescent="0.4">
      <c r="B226" s="276"/>
      <c r="C226" s="327"/>
      <c r="D226" s="328"/>
    </row>
    <row r="227" spans="2:4" ht="26.25" x14ac:dyDescent="0.4">
      <c r="C227" s="327"/>
      <c r="D227" s="328"/>
    </row>
    <row r="228" spans="2:4" x14ac:dyDescent="0.25">
      <c r="B228" s="3"/>
    </row>
  </sheetData>
  <sheetProtection sheet="1" objects="1" scenarios="1"/>
  <mergeCells count="386">
    <mergeCell ref="I140:K140"/>
    <mergeCell ref="S140:U140"/>
    <mergeCell ref="AC140:AE140"/>
    <mergeCell ref="AM140:AO140"/>
    <mergeCell ref="AC101:AE101"/>
    <mergeCell ref="AM101:AO101"/>
    <mergeCell ref="I114:K114"/>
    <mergeCell ref="S114:U114"/>
    <mergeCell ref="AC114:AE114"/>
    <mergeCell ref="AM114:AO114"/>
    <mergeCell ref="I127:K127"/>
    <mergeCell ref="S127:U127"/>
    <mergeCell ref="AC127:AE127"/>
    <mergeCell ref="AM127:AO127"/>
    <mergeCell ref="AC105:AE105"/>
    <mergeCell ref="S111:U111"/>
    <mergeCell ref="S112:U112"/>
    <mergeCell ref="S113:U113"/>
    <mergeCell ref="AC111:AE111"/>
    <mergeCell ref="AC112:AE112"/>
    <mergeCell ref="I108:K108"/>
    <mergeCell ref="I109:K109"/>
    <mergeCell ref="I110:K110"/>
    <mergeCell ref="I111:K111"/>
    <mergeCell ref="H19:K19"/>
    <mergeCell ref="M19:P19"/>
    <mergeCell ref="R19:U19"/>
    <mergeCell ref="B179:B183"/>
    <mergeCell ref="H211:K211"/>
    <mergeCell ref="M211:P211"/>
    <mergeCell ref="R211:U211"/>
    <mergeCell ref="C223:D223"/>
    <mergeCell ref="C197:F197"/>
    <mergeCell ref="G197:J197"/>
    <mergeCell ref="K197:N197"/>
    <mergeCell ref="O197:R197"/>
    <mergeCell ref="D172:G172"/>
    <mergeCell ref="I172:L172"/>
    <mergeCell ref="N172:Q172"/>
    <mergeCell ref="D189:E189"/>
    <mergeCell ref="G189:H189"/>
    <mergeCell ref="J189:K189"/>
    <mergeCell ref="M189:N189"/>
    <mergeCell ref="C178:M178"/>
    <mergeCell ref="D190:E190"/>
    <mergeCell ref="G190:H190"/>
    <mergeCell ref="J190:K190"/>
    <mergeCell ref="M190:N190"/>
    <mergeCell ref="D169:E169"/>
    <mergeCell ref="M169:N169"/>
    <mergeCell ref="J169:K169"/>
    <mergeCell ref="G169:H169"/>
    <mergeCell ref="C180:C183"/>
    <mergeCell ref="AS113:AT113"/>
    <mergeCell ref="AX113:AY113"/>
    <mergeCell ref="BC113:BD113"/>
    <mergeCell ref="BH113:BI113"/>
    <mergeCell ref="M168:N168"/>
    <mergeCell ref="M170:N170"/>
    <mergeCell ref="D170:E170"/>
    <mergeCell ref="G170:H170"/>
    <mergeCell ref="J170:K170"/>
    <mergeCell ref="C151:R151"/>
    <mergeCell ref="C152:R152"/>
    <mergeCell ref="C153:F153"/>
    <mergeCell ref="G153:J153"/>
    <mergeCell ref="K153:N153"/>
    <mergeCell ref="O153:R153"/>
    <mergeCell ref="N114:Q114"/>
    <mergeCell ref="X114:AA114"/>
    <mergeCell ref="S123:U123"/>
    <mergeCell ref="S124:U124"/>
    <mergeCell ref="BH101:BI101"/>
    <mergeCell ref="AR91:AU91"/>
    <mergeCell ref="AW91:AZ91"/>
    <mergeCell ref="BB91:BE91"/>
    <mergeCell ref="BG91:BJ91"/>
    <mergeCell ref="AW97:AZ97"/>
    <mergeCell ref="BB97:BE97"/>
    <mergeCell ref="BG97:BJ97"/>
    <mergeCell ref="AS95:AT95"/>
    <mergeCell ref="AX95:AY95"/>
    <mergeCell ref="BC95:BD95"/>
    <mergeCell ref="BH95:BI95"/>
    <mergeCell ref="AR97:AU97"/>
    <mergeCell ref="C58:D58"/>
    <mergeCell ref="F58:G58"/>
    <mergeCell ref="I58:J58"/>
    <mergeCell ref="L58:M58"/>
    <mergeCell ref="BG109:BJ109"/>
    <mergeCell ref="BG103:BJ103"/>
    <mergeCell ref="BH107:BI107"/>
    <mergeCell ref="AR103:AU103"/>
    <mergeCell ref="AW103:AZ103"/>
    <mergeCell ref="AR109:AU109"/>
    <mergeCell ref="AW109:AZ109"/>
    <mergeCell ref="BB109:BE109"/>
    <mergeCell ref="BC101:BD101"/>
    <mergeCell ref="BC107:BD107"/>
    <mergeCell ref="AS101:AT101"/>
    <mergeCell ref="AX101:AY101"/>
    <mergeCell ref="AS107:AT107"/>
    <mergeCell ref="AX107:AY107"/>
    <mergeCell ref="BB103:BE103"/>
    <mergeCell ref="I97:K97"/>
    <mergeCell ref="I98:K98"/>
    <mergeCell ref="I99:K99"/>
    <mergeCell ref="I100:K100"/>
    <mergeCell ref="AM105:AO105"/>
    <mergeCell ref="R69:U69"/>
    <mergeCell ref="M69:P69"/>
    <mergeCell ref="H69:K69"/>
    <mergeCell ref="H60:K60"/>
    <mergeCell ref="M60:P60"/>
    <mergeCell ref="R60:U60"/>
    <mergeCell ref="F43:G43"/>
    <mergeCell ref="F52:G52"/>
    <mergeCell ref="I48:J48"/>
    <mergeCell ref="L48:M48"/>
    <mergeCell ref="I53:J53"/>
    <mergeCell ref="F53:G53"/>
    <mergeCell ref="F27:G27"/>
    <mergeCell ref="F35:G35"/>
    <mergeCell ref="I35:J35"/>
    <mergeCell ref="L35:M35"/>
    <mergeCell ref="D168:E168"/>
    <mergeCell ref="G168:H168"/>
    <mergeCell ref="J168:K168"/>
    <mergeCell ref="D164:E164"/>
    <mergeCell ref="G164:H164"/>
    <mergeCell ref="J164:K164"/>
    <mergeCell ref="M164:N164"/>
    <mergeCell ref="C40:D40"/>
    <mergeCell ref="F40:G40"/>
    <mergeCell ref="I40:J40"/>
    <mergeCell ref="L40:M40"/>
    <mergeCell ref="E77:H77"/>
    <mergeCell ref="I33:J33"/>
    <mergeCell ref="L33:M33"/>
    <mergeCell ref="F48:G48"/>
    <mergeCell ref="I32:J32"/>
    <mergeCell ref="C41:D41"/>
    <mergeCell ref="F41:G41"/>
    <mergeCell ref="I41:J41"/>
    <mergeCell ref="L41:M41"/>
    <mergeCell ref="C11:R11"/>
    <mergeCell ref="C12:F12"/>
    <mergeCell ref="G12:J12"/>
    <mergeCell ref="K12:N12"/>
    <mergeCell ref="O12:R12"/>
    <mergeCell ref="C79:C82"/>
    <mergeCell ref="C57:D57"/>
    <mergeCell ref="F57:G57"/>
    <mergeCell ref="I57:J57"/>
    <mergeCell ref="L57:M57"/>
    <mergeCell ref="C49:D49"/>
    <mergeCell ref="F49:G49"/>
    <mergeCell ref="I49:J49"/>
    <mergeCell ref="L49:M49"/>
    <mergeCell ref="C32:D32"/>
    <mergeCell ref="F32:G32"/>
    <mergeCell ref="I27:J27"/>
    <mergeCell ref="L27:M27"/>
    <mergeCell ref="I43:J43"/>
    <mergeCell ref="I52:J52"/>
    <mergeCell ref="L52:M52"/>
    <mergeCell ref="C33:D33"/>
    <mergeCell ref="F33:G33"/>
    <mergeCell ref="C27:D27"/>
    <mergeCell ref="AM94:AO94"/>
    <mergeCell ref="AM95:AO95"/>
    <mergeCell ref="AM96:AO96"/>
    <mergeCell ref="AM97:AO97"/>
    <mergeCell ref="AM98:AO98"/>
    <mergeCell ref="AM99:AO99"/>
    <mergeCell ref="AM100:AO100"/>
    <mergeCell ref="AM92:AO92"/>
    <mergeCell ref="S97:U97"/>
    <mergeCell ref="AC92:AE92"/>
    <mergeCell ref="H142:K142"/>
    <mergeCell ref="M142:P142"/>
    <mergeCell ref="R142:U142"/>
    <mergeCell ref="X101:AA101"/>
    <mergeCell ref="AH101:AK101"/>
    <mergeCell ref="S99:U99"/>
    <mergeCell ref="S100:U100"/>
    <mergeCell ref="S98:U98"/>
    <mergeCell ref="D91:G91"/>
    <mergeCell ref="N91:Q91"/>
    <mergeCell ref="X91:AA91"/>
    <mergeCell ref="AH91:AK91"/>
    <mergeCell ref="I92:K92"/>
    <mergeCell ref="S92:U92"/>
    <mergeCell ref="AC94:AE94"/>
    <mergeCell ref="AC95:AE95"/>
    <mergeCell ref="AH130:AK130"/>
    <mergeCell ref="I91:K91"/>
    <mergeCell ref="S91:U91"/>
    <mergeCell ref="S94:U94"/>
    <mergeCell ref="S95:U95"/>
    <mergeCell ref="S96:U96"/>
    <mergeCell ref="D114:G114"/>
    <mergeCell ref="AC91:AE91"/>
    <mergeCell ref="B120:B126"/>
    <mergeCell ref="S118:U118"/>
    <mergeCell ref="S119:U119"/>
    <mergeCell ref="S120:U120"/>
    <mergeCell ref="AM118:AO118"/>
    <mergeCell ref="AM119:AO119"/>
    <mergeCell ref="AM120:AO120"/>
    <mergeCell ref="D117:G117"/>
    <mergeCell ref="N117:Q117"/>
    <mergeCell ref="X117:AA117"/>
    <mergeCell ref="AH117:AK117"/>
    <mergeCell ref="I117:K117"/>
    <mergeCell ref="AM117:AO117"/>
    <mergeCell ref="B118:B119"/>
    <mergeCell ref="I119:K119"/>
    <mergeCell ref="I120:K120"/>
    <mergeCell ref="I121:K121"/>
    <mergeCell ref="I122:K122"/>
    <mergeCell ref="I123:K123"/>
    <mergeCell ref="I124:K124"/>
    <mergeCell ref="I125:K125"/>
    <mergeCell ref="I126:K126"/>
    <mergeCell ref="I118:K118"/>
    <mergeCell ref="AC119:AE119"/>
    <mergeCell ref="B133:B139"/>
    <mergeCell ref="AC132:AE132"/>
    <mergeCell ref="AC133:AE133"/>
    <mergeCell ref="S131:U131"/>
    <mergeCell ref="D130:G130"/>
    <mergeCell ref="N130:Q130"/>
    <mergeCell ref="X130:AA130"/>
    <mergeCell ref="D127:G127"/>
    <mergeCell ref="S130:U130"/>
    <mergeCell ref="AC130:AE130"/>
    <mergeCell ref="N127:Q127"/>
    <mergeCell ref="B131:B132"/>
    <mergeCell ref="I132:K132"/>
    <mergeCell ref="I133:K133"/>
    <mergeCell ref="I134:K134"/>
    <mergeCell ref="I135:K135"/>
    <mergeCell ref="I136:K136"/>
    <mergeCell ref="I137:K137"/>
    <mergeCell ref="I138:K138"/>
    <mergeCell ref="I139:K139"/>
    <mergeCell ref="I105:K105"/>
    <mergeCell ref="AC96:AE96"/>
    <mergeCell ref="AC97:AE97"/>
    <mergeCell ref="AC98:AE98"/>
    <mergeCell ref="AC99:AE99"/>
    <mergeCell ref="AC100:AE100"/>
    <mergeCell ref="N101:Q101"/>
    <mergeCell ref="I96:K96"/>
    <mergeCell ref="S110:U110"/>
    <mergeCell ref="AC110:AE110"/>
    <mergeCell ref="B92:B93"/>
    <mergeCell ref="I93:K93"/>
    <mergeCell ref="B94:B100"/>
    <mergeCell ref="S93:U93"/>
    <mergeCell ref="I106:K106"/>
    <mergeCell ref="B105:B106"/>
    <mergeCell ref="S106:U106"/>
    <mergeCell ref="S107:U107"/>
    <mergeCell ref="I107:K107"/>
    <mergeCell ref="D101:G101"/>
    <mergeCell ref="I95:K95"/>
    <mergeCell ref="I94:K94"/>
    <mergeCell ref="B107:B113"/>
    <mergeCell ref="D104:G104"/>
    <mergeCell ref="N104:Q104"/>
    <mergeCell ref="S109:U109"/>
    <mergeCell ref="S104:U104"/>
    <mergeCell ref="S105:U105"/>
    <mergeCell ref="S108:U108"/>
    <mergeCell ref="I101:K101"/>
    <mergeCell ref="S101:U101"/>
    <mergeCell ref="I112:K112"/>
    <mergeCell ref="I113:K113"/>
    <mergeCell ref="I104:K104"/>
    <mergeCell ref="AM104:AO104"/>
    <mergeCell ref="AC107:AE107"/>
    <mergeCell ref="AC108:AE108"/>
    <mergeCell ref="AM106:AO106"/>
    <mergeCell ref="AM107:AO107"/>
    <mergeCell ref="AM108:AO108"/>
    <mergeCell ref="X104:AA104"/>
    <mergeCell ref="AH104:AK104"/>
    <mergeCell ref="X127:AA127"/>
    <mergeCell ref="AM123:AO123"/>
    <mergeCell ref="AM124:AO124"/>
    <mergeCell ref="AM125:AO125"/>
    <mergeCell ref="AM126:AO126"/>
    <mergeCell ref="AH127:AK127"/>
    <mergeCell ref="AM109:AO109"/>
    <mergeCell ref="AM110:AO110"/>
    <mergeCell ref="AM111:AO111"/>
    <mergeCell ref="AM112:AO112"/>
    <mergeCell ref="AM113:AO113"/>
    <mergeCell ref="AH114:AK114"/>
    <mergeCell ref="AC109:AE109"/>
    <mergeCell ref="AC113:AE113"/>
    <mergeCell ref="AC106:AE106"/>
    <mergeCell ref="AC104:AE104"/>
    <mergeCell ref="S125:U125"/>
    <mergeCell ref="S126:U126"/>
    <mergeCell ref="AC120:AE120"/>
    <mergeCell ref="AC121:AE121"/>
    <mergeCell ref="AC122:AE122"/>
    <mergeCell ref="AC123:AE123"/>
    <mergeCell ref="AC124:AE124"/>
    <mergeCell ref="AC125:AE125"/>
    <mergeCell ref="AC126:AE126"/>
    <mergeCell ref="AM130:AO130"/>
    <mergeCell ref="AM139:AO139"/>
    <mergeCell ref="AH140:AK140"/>
    <mergeCell ref="AM93:AO93"/>
    <mergeCell ref="I130:K130"/>
    <mergeCell ref="I131:K131"/>
    <mergeCell ref="AC134:AE134"/>
    <mergeCell ref="AC135:AE135"/>
    <mergeCell ref="AC136:AE136"/>
    <mergeCell ref="AC137:AE137"/>
    <mergeCell ref="AC138:AE138"/>
    <mergeCell ref="AC139:AE139"/>
    <mergeCell ref="X140:AA140"/>
    <mergeCell ref="AM131:AO131"/>
    <mergeCell ref="AM132:AO132"/>
    <mergeCell ref="AM133:AO133"/>
    <mergeCell ref="AM134:AO134"/>
    <mergeCell ref="AM135:AO135"/>
    <mergeCell ref="AM136:AO136"/>
    <mergeCell ref="AM137:AO137"/>
    <mergeCell ref="AM138:AO138"/>
    <mergeCell ref="AC131:AE131"/>
    <mergeCell ref="AM121:AO121"/>
    <mergeCell ref="AM122:AO122"/>
    <mergeCell ref="D191:E191"/>
    <mergeCell ref="G191:H191"/>
    <mergeCell ref="J191:K191"/>
    <mergeCell ref="M191:N191"/>
    <mergeCell ref="C10:R10"/>
    <mergeCell ref="AC93:AE93"/>
    <mergeCell ref="C2:D2"/>
    <mergeCell ref="E2:F2"/>
    <mergeCell ref="G2:H2"/>
    <mergeCell ref="D140:G140"/>
    <mergeCell ref="S132:U132"/>
    <mergeCell ref="S133:U133"/>
    <mergeCell ref="S134:U134"/>
    <mergeCell ref="S135:U135"/>
    <mergeCell ref="S136:U136"/>
    <mergeCell ref="S137:U137"/>
    <mergeCell ref="S138:U138"/>
    <mergeCell ref="S139:U139"/>
    <mergeCell ref="N140:Q140"/>
    <mergeCell ref="S117:U117"/>
    <mergeCell ref="AC117:AE117"/>
    <mergeCell ref="AC118:AE118"/>
    <mergeCell ref="S121:U121"/>
    <mergeCell ref="S122:U122"/>
    <mergeCell ref="D158:G158"/>
    <mergeCell ref="I158:L158"/>
    <mergeCell ref="N158:Q158"/>
    <mergeCell ref="C193:F193"/>
    <mergeCell ref="C53:D53"/>
    <mergeCell ref="C28:D28"/>
    <mergeCell ref="F28:G28"/>
    <mergeCell ref="I28:J28"/>
    <mergeCell ref="L28:M28"/>
    <mergeCell ref="I36:J36"/>
    <mergeCell ref="F36:G36"/>
    <mergeCell ref="C36:D36"/>
    <mergeCell ref="L36:M36"/>
    <mergeCell ref="C44:D44"/>
    <mergeCell ref="L44:M44"/>
    <mergeCell ref="I44:J44"/>
    <mergeCell ref="F44:G44"/>
    <mergeCell ref="C48:D48"/>
    <mergeCell ref="L32:M32"/>
    <mergeCell ref="L53:M53"/>
    <mergeCell ref="C35:D35"/>
    <mergeCell ref="C43:D43"/>
    <mergeCell ref="C52:D52"/>
    <mergeCell ref="L43:M43"/>
  </mergeCells>
  <phoneticPr fontId="2" type="noConversion"/>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65CD3-5BE4-4D40-963C-4720D2A323F9}">
  <sheetPr codeName="Sheet3"/>
  <dimension ref="A1:AY185"/>
  <sheetViews>
    <sheetView zoomScale="50" zoomScaleNormal="50" workbookViewId="0">
      <selection activeCell="G190" sqref="G190"/>
    </sheetView>
  </sheetViews>
  <sheetFormatPr defaultRowHeight="15" x14ac:dyDescent="0.25"/>
  <cols>
    <col min="1" max="1" width="9.140625" style="142"/>
    <col min="2" max="2" width="80" bestFit="1" customWidth="1"/>
    <col min="3" max="6" width="20.140625" bestFit="1" customWidth="1"/>
    <col min="7" max="8" width="19.42578125" bestFit="1" customWidth="1"/>
    <col min="9" max="9" width="20.140625" bestFit="1" customWidth="1"/>
    <col min="10" max="11" width="19.42578125" bestFit="1" customWidth="1"/>
    <col min="12" max="12" width="20.140625" bestFit="1" customWidth="1"/>
    <col min="13" max="13" width="19.42578125" bestFit="1" customWidth="1"/>
    <col min="14" max="14" width="19.140625" bestFit="1" customWidth="1"/>
    <col min="15" max="15" width="20.140625" bestFit="1" customWidth="1"/>
    <col min="16" max="16" width="18.85546875" customWidth="1"/>
    <col min="17" max="17" width="19.42578125" bestFit="1" customWidth="1"/>
    <col min="18" max="18" width="19.5703125" bestFit="1" customWidth="1"/>
    <col min="19" max="42" width="20" customWidth="1"/>
  </cols>
  <sheetData>
    <row r="1" spans="1:22" s="114" customFormat="1" ht="15.75" thickBot="1" x14ac:dyDescent="0.3"/>
    <row r="2" spans="1:22" s="114" customFormat="1" ht="29.25" thickTop="1" x14ac:dyDescent="0.45">
      <c r="A2" s="142"/>
      <c r="B2" s="230" t="s">
        <v>385</v>
      </c>
      <c r="C2" s="377" t="str">
        <f ca="1">'Encryption Calculations'!$C$223</f>
        <v xml:space="preserve">_x0006_°ðÉ†?ßJŽ_x0006_h7o¯ƒ
</v>
      </c>
      <c r="D2" s="377"/>
      <c r="E2" s="378" t="s">
        <v>384</v>
      </c>
      <c r="F2" s="378"/>
      <c r="G2" s="378"/>
      <c r="H2" s="377" t="str">
        <f ca="1">C183</f>
        <v>"Hello World!!!"</v>
      </c>
      <c r="I2" s="377"/>
      <c r="J2" s="200"/>
      <c r="K2" s="200"/>
      <c r="L2" s="200"/>
      <c r="M2" s="200"/>
      <c r="N2" s="200"/>
      <c r="O2" s="200"/>
      <c r="P2" s="200"/>
      <c r="Q2" s="200"/>
      <c r="R2" s="200"/>
      <c r="S2" s="200"/>
      <c r="T2" s="200"/>
      <c r="U2" s="200"/>
      <c r="V2" s="201"/>
    </row>
    <row r="3" spans="1:22" s="114" customFormat="1" x14ac:dyDescent="0.25">
      <c r="A3" s="142"/>
      <c r="B3" s="202"/>
      <c r="C3" s="3"/>
      <c r="D3" s="3"/>
      <c r="E3" s="3"/>
      <c r="F3" s="3"/>
      <c r="G3" s="3"/>
      <c r="H3" s="3"/>
      <c r="I3" s="3"/>
      <c r="J3" s="3"/>
      <c r="K3" s="3"/>
      <c r="L3" s="3"/>
      <c r="M3" s="3"/>
      <c r="N3" s="3"/>
      <c r="O3" s="3"/>
      <c r="P3" s="3"/>
      <c r="Q3" s="3"/>
      <c r="R3" s="3"/>
      <c r="S3" s="3"/>
      <c r="T3" s="3"/>
      <c r="U3" s="3"/>
      <c r="V3" s="203"/>
    </row>
    <row r="4" spans="1:22" x14ac:dyDescent="0.25">
      <c r="B4" s="202"/>
      <c r="C4" s="3"/>
      <c r="D4" s="3"/>
      <c r="E4" s="3"/>
      <c r="F4" s="3"/>
      <c r="G4" s="3"/>
      <c r="H4" s="3"/>
      <c r="I4" s="3"/>
      <c r="J4" s="3"/>
      <c r="K4" s="3"/>
      <c r="L4" s="3"/>
      <c r="M4" s="3"/>
      <c r="N4" s="3"/>
      <c r="O4" s="3"/>
      <c r="P4" s="3"/>
      <c r="Q4" s="3"/>
      <c r="R4" s="3"/>
      <c r="S4" s="3"/>
      <c r="T4" s="3"/>
      <c r="U4" s="3"/>
      <c r="V4" s="203"/>
    </row>
    <row r="5" spans="1:22" ht="15.75" thickBot="1" x14ac:dyDescent="0.3">
      <c r="B5" s="202"/>
      <c r="C5" s="3"/>
      <c r="D5" s="3"/>
      <c r="E5" s="3"/>
      <c r="F5" s="3"/>
      <c r="G5" s="3"/>
      <c r="H5" s="339" t="s">
        <v>256</v>
      </c>
      <c r="I5" s="339"/>
      <c r="J5" s="339"/>
      <c r="K5" s="339"/>
      <c r="L5" s="3"/>
      <c r="M5" s="339" t="s">
        <v>257</v>
      </c>
      <c r="N5" s="339"/>
      <c r="O5" s="339"/>
      <c r="P5" s="339"/>
      <c r="Q5" s="3"/>
      <c r="R5" s="337" t="s">
        <v>258</v>
      </c>
      <c r="S5" s="339"/>
      <c r="T5" s="339"/>
      <c r="U5" s="337"/>
      <c r="V5" s="203"/>
    </row>
    <row r="6" spans="1:22" x14ac:dyDescent="0.25">
      <c r="B6" s="205"/>
      <c r="C6" s="8" t="s">
        <v>323</v>
      </c>
      <c r="D6" s="139" t="s">
        <v>327</v>
      </c>
      <c r="E6" s="139" t="s">
        <v>331</v>
      </c>
      <c r="F6" s="11" t="s">
        <v>335</v>
      </c>
      <c r="G6" s="4"/>
      <c r="H6" s="8" t="str">
        <f ca="1">_xlfn.BASE(M6,2,8)</f>
        <v>00000110</v>
      </c>
      <c r="I6" s="139" t="str">
        <f t="shared" ref="I6:K9" ca="1" si="0">_xlfn.BASE(N6,2,8)</f>
        <v>10000110</v>
      </c>
      <c r="J6" s="139" t="str">
        <f t="shared" ca="1" si="0"/>
        <v>10001110</v>
      </c>
      <c r="K6" s="11" t="str">
        <f t="shared" ca="1" si="0"/>
        <v>01101111</v>
      </c>
      <c r="L6" s="4"/>
      <c r="M6" s="8" cm="1">
        <f t="array" aca="1" ref="M6:P9" ca="1">'Encryption Calculations'!M212:P215</f>
        <v>6</v>
      </c>
      <c r="N6" s="139">
        <f ca="1"/>
        <v>134</v>
      </c>
      <c r="O6" s="139">
        <f ca="1"/>
        <v>142</v>
      </c>
      <c r="P6" s="11">
        <f ca="1"/>
        <v>111</v>
      </c>
      <c r="Q6" s="3"/>
      <c r="R6" s="8" t="str">
        <f ca="1">_xlfn.BASE(M6,16,2)</f>
        <v>06</v>
      </c>
      <c r="S6" s="139" t="str">
        <f t="shared" ref="S6:U9" ca="1" si="1">_xlfn.BASE(N6,16,2)</f>
        <v>86</v>
      </c>
      <c r="T6" s="139" t="str">
        <f t="shared" ca="1" si="1"/>
        <v>8E</v>
      </c>
      <c r="U6" s="11" t="str">
        <f t="shared" ca="1" si="1"/>
        <v>6F</v>
      </c>
      <c r="V6" s="203"/>
    </row>
    <row r="7" spans="1:22" ht="21" x14ac:dyDescent="0.35">
      <c r="B7" s="205"/>
      <c r="C7" s="139" t="s">
        <v>324</v>
      </c>
      <c r="D7" s="139" t="s">
        <v>328</v>
      </c>
      <c r="E7" s="139" t="s">
        <v>332</v>
      </c>
      <c r="F7" s="88" t="s">
        <v>336</v>
      </c>
      <c r="G7" s="21" t="s">
        <v>8</v>
      </c>
      <c r="H7" s="139" t="str">
        <f t="shared" ref="H7:H9" ca="1" si="2">_xlfn.BASE(M7,2,8)</f>
        <v>10110000</v>
      </c>
      <c r="I7" s="139" t="str">
        <f t="shared" ca="1" si="0"/>
        <v>00111111</v>
      </c>
      <c r="J7" s="139" t="str">
        <f t="shared" ca="1" si="0"/>
        <v>00000110</v>
      </c>
      <c r="K7" s="88" t="str">
        <f t="shared" ca="1" si="0"/>
        <v>10101111</v>
      </c>
      <c r="L7" s="22" t="s">
        <v>8</v>
      </c>
      <c r="M7" s="139">
        <f ca="1"/>
        <v>176</v>
      </c>
      <c r="N7" s="139">
        <f ca="1"/>
        <v>63</v>
      </c>
      <c r="O7" s="139">
        <f ca="1"/>
        <v>6</v>
      </c>
      <c r="P7" s="88">
        <f ca="1"/>
        <v>175</v>
      </c>
      <c r="Q7" s="44" t="s">
        <v>8</v>
      </c>
      <c r="R7" s="139" t="str">
        <f ca="1">_xlfn.BASE(M7,16,2)</f>
        <v>B0</v>
      </c>
      <c r="S7" s="139" t="str">
        <f t="shared" ca="1" si="1"/>
        <v>3F</v>
      </c>
      <c r="T7" s="139" t="str">
        <f t="shared" ca="1" si="1"/>
        <v>06</v>
      </c>
      <c r="U7" s="88" t="str">
        <f t="shared" ca="1" si="1"/>
        <v>AF</v>
      </c>
      <c r="V7" s="203"/>
    </row>
    <row r="8" spans="1:22" x14ac:dyDescent="0.25">
      <c r="B8" s="205"/>
      <c r="C8" s="139" t="s">
        <v>325</v>
      </c>
      <c r="D8" s="139" t="s">
        <v>329</v>
      </c>
      <c r="E8" s="139" t="s">
        <v>333</v>
      </c>
      <c r="F8" s="88" t="s">
        <v>337</v>
      </c>
      <c r="G8" s="4"/>
      <c r="H8" s="139" t="str">
        <f t="shared" ca="1" si="2"/>
        <v>11110000</v>
      </c>
      <c r="I8" s="139" t="str">
        <f t="shared" ca="1" si="0"/>
        <v>11011111</v>
      </c>
      <c r="J8" s="139" t="str">
        <f t="shared" ca="1" si="0"/>
        <v>01101000</v>
      </c>
      <c r="K8" s="88" t="str">
        <f t="shared" ca="1" si="0"/>
        <v>10000011</v>
      </c>
      <c r="L8" s="4"/>
      <c r="M8" s="139">
        <f ca="1"/>
        <v>240</v>
      </c>
      <c r="N8" s="139">
        <f ca="1"/>
        <v>223</v>
      </c>
      <c r="O8" s="139">
        <f ca="1"/>
        <v>104</v>
      </c>
      <c r="P8" s="88">
        <f ca="1"/>
        <v>131</v>
      </c>
      <c r="Q8" s="4"/>
      <c r="R8" s="139" t="str">
        <f ca="1">_xlfn.BASE(M8,16,2)</f>
        <v>F0</v>
      </c>
      <c r="S8" s="139" t="str">
        <f t="shared" ca="1" si="1"/>
        <v>DF</v>
      </c>
      <c r="T8" s="139" t="str">
        <f t="shared" ca="1" si="1"/>
        <v>68</v>
      </c>
      <c r="U8" s="88" t="str">
        <f t="shared" ca="1" si="1"/>
        <v>83</v>
      </c>
      <c r="V8" s="203"/>
    </row>
    <row r="9" spans="1:22" ht="15.75" thickBot="1" x14ac:dyDescent="0.3">
      <c r="B9" s="202"/>
      <c r="C9" s="16" t="s">
        <v>326</v>
      </c>
      <c r="D9" s="139" t="s">
        <v>330</v>
      </c>
      <c r="E9" s="139" t="s">
        <v>334</v>
      </c>
      <c r="F9" s="14" t="s">
        <v>338</v>
      </c>
      <c r="G9" s="4"/>
      <c r="H9" s="16" t="str">
        <f t="shared" ca="1" si="2"/>
        <v>11001001</v>
      </c>
      <c r="I9" s="139" t="str">
        <f t="shared" ca="1" si="0"/>
        <v>01001010</v>
      </c>
      <c r="J9" s="139" t="str">
        <f t="shared" ca="1" si="0"/>
        <v>00110111</v>
      </c>
      <c r="K9" s="88" t="str">
        <f t="shared" ca="1" si="0"/>
        <v>00001010</v>
      </c>
      <c r="L9" s="4"/>
      <c r="M9" s="16">
        <f ca="1"/>
        <v>201</v>
      </c>
      <c r="N9" s="139">
        <f ca="1"/>
        <v>74</v>
      </c>
      <c r="O9" s="139">
        <f ca="1"/>
        <v>55</v>
      </c>
      <c r="P9" s="14">
        <f ca="1"/>
        <v>10</v>
      </c>
      <c r="Q9" s="4"/>
      <c r="R9" s="16" t="str">
        <f t="shared" ref="R9" ca="1" si="3">_xlfn.BASE(M9,16,2)</f>
        <v>C9</v>
      </c>
      <c r="S9" s="139" t="str">
        <f t="shared" ca="1" si="1"/>
        <v>4A</v>
      </c>
      <c r="T9" s="139" t="str">
        <f t="shared" ca="1" si="1"/>
        <v>37</v>
      </c>
      <c r="U9" s="14" t="str">
        <f t="shared" ca="1" si="1"/>
        <v>0A</v>
      </c>
      <c r="V9" s="203"/>
    </row>
    <row r="10" spans="1:22" s="142" customFormat="1" ht="15.75" thickBot="1" x14ac:dyDescent="0.3">
      <c r="B10" s="206"/>
      <c r="C10" s="207"/>
      <c r="D10" s="207"/>
      <c r="E10" s="207"/>
      <c r="F10" s="207"/>
      <c r="G10" s="231"/>
      <c r="H10" s="207"/>
      <c r="I10" s="207"/>
      <c r="J10" s="207"/>
      <c r="K10" s="207"/>
      <c r="L10" s="231"/>
      <c r="M10" s="207"/>
      <c r="N10" s="207"/>
      <c r="O10" s="207"/>
      <c r="P10" s="207"/>
      <c r="Q10" s="231"/>
      <c r="R10" s="207"/>
      <c r="S10" s="207"/>
      <c r="T10" s="207"/>
      <c r="U10" s="207"/>
      <c r="V10" s="232"/>
    </row>
    <row r="11" spans="1:22" s="142" customFormat="1" ht="16.5" thickTop="1" thickBot="1" x14ac:dyDescent="0.3">
      <c r="B11" s="3"/>
      <c r="C11" s="139"/>
      <c r="D11" s="139"/>
      <c r="E11" s="139"/>
      <c r="F11" s="139"/>
      <c r="G11" s="3"/>
      <c r="H11" s="139"/>
      <c r="I11" s="139"/>
      <c r="J11" s="139"/>
      <c r="K11" s="139"/>
      <c r="L11" s="3"/>
      <c r="M11" s="139"/>
      <c r="N11" s="139"/>
      <c r="O11" s="139"/>
      <c r="P11" s="139"/>
      <c r="Q11" s="3"/>
      <c r="R11" s="139"/>
      <c r="S11" s="139"/>
      <c r="T11" s="139"/>
      <c r="U11" s="139"/>
      <c r="V11" s="3"/>
    </row>
    <row r="12" spans="1:22" s="91" customFormat="1" ht="27" thickTop="1" x14ac:dyDescent="0.4">
      <c r="A12" s="142"/>
      <c r="B12" s="234" t="s">
        <v>394</v>
      </c>
      <c r="C12" s="235"/>
      <c r="D12" s="235"/>
      <c r="E12" s="235"/>
      <c r="F12" s="235"/>
      <c r="G12" s="235"/>
      <c r="H12" s="235"/>
      <c r="I12" s="235"/>
      <c r="J12" s="235"/>
      <c r="K12" s="235"/>
      <c r="L12" s="235"/>
      <c r="M12" s="235"/>
      <c r="N12" s="235"/>
      <c r="O12" s="235"/>
      <c r="P12" s="235"/>
      <c r="Q12" s="235"/>
      <c r="R12" s="235"/>
      <c r="S12" s="235"/>
      <c r="T12" s="236"/>
      <c r="U12" s="236"/>
      <c r="V12" s="237"/>
    </row>
    <row r="13" spans="1:22" s="91" customFormat="1" x14ac:dyDescent="0.25">
      <c r="A13" s="142"/>
      <c r="B13" s="238"/>
      <c r="C13" s="139" t="s">
        <v>323</v>
      </c>
      <c r="D13" s="139" t="s">
        <v>324</v>
      </c>
      <c r="E13" s="139" t="s">
        <v>325</v>
      </c>
      <c r="F13" s="139" t="s">
        <v>326</v>
      </c>
      <c r="G13" s="139" t="s">
        <v>327</v>
      </c>
      <c r="H13" s="139" t="s">
        <v>328</v>
      </c>
      <c r="I13" s="139" t="s">
        <v>329</v>
      </c>
      <c r="J13" s="139" t="s">
        <v>330</v>
      </c>
      <c r="K13" s="139" t="s">
        <v>331</v>
      </c>
      <c r="L13" s="139" t="s">
        <v>332</v>
      </c>
      <c r="M13" s="139" t="s">
        <v>333</v>
      </c>
      <c r="N13" s="139" t="s">
        <v>334</v>
      </c>
      <c r="O13" s="139" t="s">
        <v>335</v>
      </c>
      <c r="P13" s="139" t="s">
        <v>336</v>
      </c>
      <c r="Q13" s="139" t="s">
        <v>337</v>
      </c>
      <c r="R13" s="139" t="s">
        <v>338</v>
      </c>
      <c r="S13" s="3"/>
      <c r="T13" s="139"/>
      <c r="U13" s="139"/>
      <c r="V13" s="239"/>
    </row>
    <row r="14" spans="1:22" s="91" customFormat="1" x14ac:dyDescent="0.25">
      <c r="A14" s="142"/>
      <c r="B14" s="240" t="s">
        <v>322</v>
      </c>
      <c r="C14" s="3" cm="1">
        <f t="array" aca="1" ref="C14:F14" ca="1">TRANSPOSE(M6:M9)</f>
        <v>6</v>
      </c>
      <c r="D14" s="3">
        <f ca="1"/>
        <v>176</v>
      </c>
      <c r="E14" s="3">
        <f ca="1"/>
        <v>240</v>
      </c>
      <c r="F14" s="3">
        <f ca="1"/>
        <v>201</v>
      </c>
      <c r="G14" s="3" cm="1">
        <f t="array" aca="1" ref="G14:J14" ca="1">TRANSPOSE(N6:N9)</f>
        <v>134</v>
      </c>
      <c r="H14" s="3">
        <f ca="1"/>
        <v>63</v>
      </c>
      <c r="I14" s="3">
        <f ca="1"/>
        <v>223</v>
      </c>
      <c r="J14" s="3">
        <f ca="1"/>
        <v>74</v>
      </c>
      <c r="K14" s="3" cm="1">
        <f t="array" aca="1" ref="K14:N14" ca="1">TRANSPOSE(O6:O9)</f>
        <v>142</v>
      </c>
      <c r="L14" s="3">
        <f ca="1"/>
        <v>6</v>
      </c>
      <c r="M14" s="3">
        <f ca="1"/>
        <v>104</v>
      </c>
      <c r="N14" s="3">
        <f ca="1"/>
        <v>55</v>
      </c>
      <c r="O14" s="3" cm="1">
        <f t="array" aca="1" ref="O14:R14" ca="1">TRANSPOSE(P6:P9)</f>
        <v>111</v>
      </c>
      <c r="P14" s="3">
        <f ca="1"/>
        <v>175</v>
      </c>
      <c r="Q14" s="3">
        <f ca="1"/>
        <v>131</v>
      </c>
      <c r="R14" s="3">
        <f ca="1"/>
        <v>10</v>
      </c>
      <c r="S14" s="3"/>
      <c r="T14" s="139"/>
      <c r="U14" s="139"/>
      <c r="V14" s="239"/>
    </row>
    <row r="15" spans="1:22" s="91" customFormat="1" x14ac:dyDescent="0.25">
      <c r="A15" s="142"/>
      <c r="B15" s="240" t="s">
        <v>73</v>
      </c>
      <c r="C15" s="92">
        <f ca="1">'Encryption Calculations'!C199</f>
        <v>214</v>
      </c>
      <c r="D15" s="92">
        <f ca="1">'Encryption Calculations'!D199</f>
        <v>170</v>
      </c>
      <c r="E15" s="92">
        <f ca="1">'Encryption Calculations'!E199</f>
        <v>116</v>
      </c>
      <c r="F15" s="92">
        <f ca="1">'Encryption Calculations'!F199</f>
        <v>253</v>
      </c>
      <c r="G15" s="92">
        <f ca="1">'Encryption Calculations'!G199</f>
        <v>210</v>
      </c>
      <c r="H15" s="92">
        <f ca="1">'Encryption Calculations'!H199</f>
        <v>175</v>
      </c>
      <c r="I15" s="92">
        <f ca="1">'Encryption Calculations'!I199</f>
        <v>114</v>
      </c>
      <c r="J15" s="92">
        <f ca="1">'Encryption Calculations'!J199</f>
        <v>250</v>
      </c>
      <c r="K15" s="92">
        <f ca="1">'Encryption Calculations'!K199</f>
        <v>218</v>
      </c>
      <c r="L15" s="92">
        <f ca="1">'Encryption Calculations'!L199</f>
        <v>166</v>
      </c>
      <c r="M15" s="92">
        <f ca="1">'Encryption Calculations'!M199</f>
        <v>120</v>
      </c>
      <c r="N15" s="92">
        <f ca="1">'Encryption Calculations'!N199</f>
        <v>241</v>
      </c>
      <c r="O15" s="92">
        <f ca="1">'Encryption Calculations'!O199</f>
        <v>214</v>
      </c>
      <c r="P15" s="92">
        <f ca="1">'Encryption Calculations'!P199</f>
        <v>171</v>
      </c>
      <c r="Q15" s="92">
        <f ca="1">'Encryption Calculations'!Q199</f>
        <v>118</v>
      </c>
      <c r="R15" s="92">
        <f ca="1">'Encryption Calculations'!R199</f>
        <v>254</v>
      </c>
      <c r="S15" s="3"/>
      <c r="T15" s="139"/>
      <c r="U15" s="139"/>
      <c r="V15" s="239"/>
    </row>
    <row r="16" spans="1:22" s="91" customFormat="1" x14ac:dyDescent="0.25">
      <c r="A16" s="142"/>
      <c r="B16" s="240" t="s">
        <v>72</v>
      </c>
      <c r="C16" s="3">
        <f ca="1">_xlfn.BITXOR(C14,C15)</f>
        <v>208</v>
      </c>
      <c r="D16" s="3">
        <f t="shared" ref="D16:R16" ca="1" si="4">_xlfn.BITXOR(D14,D15)</f>
        <v>26</v>
      </c>
      <c r="E16" s="3">
        <f t="shared" ca="1" si="4"/>
        <v>132</v>
      </c>
      <c r="F16" s="3">
        <f t="shared" ca="1" si="4"/>
        <v>52</v>
      </c>
      <c r="G16" s="3">
        <f t="shared" ca="1" si="4"/>
        <v>84</v>
      </c>
      <c r="H16" s="3">
        <f t="shared" ca="1" si="4"/>
        <v>144</v>
      </c>
      <c r="I16" s="3">
        <f t="shared" ca="1" si="4"/>
        <v>173</v>
      </c>
      <c r="J16" s="3">
        <f t="shared" ca="1" si="4"/>
        <v>176</v>
      </c>
      <c r="K16" s="3">
        <f t="shared" ca="1" si="4"/>
        <v>84</v>
      </c>
      <c r="L16" s="3">
        <f t="shared" ca="1" si="4"/>
        <v>160</v>
      </c>
      <c r="M16" s="3">
        <f t="shared" ca="1" si="4"/>
        <v>16</v>
      </c>
      <c r="N16" s="3">
        <f t="shared" ca="1" si="4"/>
        <v>198</v>
      </c>
      <c r="O16" s="3">
        <f t="shared" ca="1" si="4"/>
        <v>185</v>
      </c>
      <c r="P16" s="3">
        <f t="shared" ca="1" si="4"/>
        <v>4</v>
      </c>
      <c r="Q16" s="3">
        <f t="shared" ca="1" si="4"/>
        <v>245</v>
      </c>
      <c r="R16" s="3">
        <f t="shared" ca="1" si="4"/>
        <v>244</v>
      </c>
      <c r="S16" s="3"/>
      <c r="T16" s="139"/>
      <c r="U16" s="139"/>
      <c r="V16" s="239"/>
    </row>
    <row r="17" spans="1:42" s="91" customFormat="1" x14ac:dyDescent="0.25">
      <c r="A17" s="142"/>
      <c r="B17" s="238"/>
      <c r="C17" s="3"/>
      <c r="D17" s="3"/>
      <c r="E17" s="139"/>
      <c r="F17" s="139"/>
      <c r="G17" s="139"/>
      <c r="H17" s="139"/>
      <c r="I17" s="3"/>
      <c r="J17" s="3"/>
      <c r="K17" s="3"/>
      <c r="L17" s="3"/>
      <c r="M17" s="3"/>
      <c r="N17" s="3"/>
      <c r="O17" s="139"/>
      <c r="P17" s="139"/>
      <c r="Q17" s="139"/>
      <c r="R17" s="139"/>
      <c r="S17" s="3"/>
      <c r="T17" s="139"/>
      <c r="U17" s="139"/>
      <c r="V17" s="239"/>
    </row>
    <row r="18" spans="1:42" ht="15.75" thickBot="1" x14ac:dyDescent="0.3">
      <c r="B18" s="238"/>
      <c r="C18" s="3"/>
      <c r="D18" s="3"/>
      <c r="E18" s="3"/>
      <c r="F18" s="3"/>
      <c r="G18" s="3"/>
      <c r="H18" s="2"/>
      <c r="I18" s="3"/>
      <c r="J18" s="3"/>
      <c r="K18" s="3"/>
      <c r="L18" s="3"/>
      <c r="M18" s="2"/>
      <c r="N18" s="3"/>
      <c r="O18" s="3"/>
      <c r="P18" s="2"/>
      <c r="Q18" s="3"/>
      <c r="R18" s="3"/>
      <c r="S18" s="3"/>
      <c r="T18" s="3"/>
      <c r="U18" s="3"/>
      <c r="V18" s="239"/>
    </row>
    <row r="19" spans="1:42" x14ac:dyDescent="0.25">
      <c r="B19" s="241"/>
      <c r="C19" s="143" t="s">
        <v>56</v>
      </c>
      <c r="D19" s="139" t="s">
        <v>60</v>
      </c>
      <c r="E19" s="139" t="s">
        <v>64</v>
      </c>
      <c r="F19" s="11" t="s">
        <v>68</v>
      </c>
      <c r="G19" s="4"/>
      <c r="H19" s="139" t="str">
        <f ca="1">_xlfn.BASE(M19,2,8)</f>
        <v>11010000</v>
      </c>
      <c r="I19" s="139" t="str">
        <f ca="1">_xlfn.BASE(N19,2,8)</f>
        <v>01010100</v>
      </c>
      <c r="J19" s="139" t="str">
        <f t="shared" ref="H19:K22" ca="1" si="5">_xlfn.BASE(O19,2,8)</f>
        <v>01010100</v>
      </c>
      <c r="K19" s="11" t="str">
        <f t="shared" ca="1" si="5"/>
        <v>10111001</v>
      </c>
      <c r="L19" s="4"/>
      <c r="M19" s="139">
        <f ca="1">C16</f>
        <v>208</v>
      </c>
      <c r="N19" s="139">
        <f ca="1">G16</f>
        <v>84</v>
      </c>
      <c r="O19" s="139">
        <f ca="1">K16</f>
        <v>84</v>
      </c>
      <c r="P19" s="11">
        <f ca="1">O16</f>
        <v>185</v>
      </c>
      <c r="Q19" s="3"/>
      <c r="R19" s="8" t="str">
        <f ca="1">_xlfn.BASE(M19,16,2)</f>
        <v>D0</v>
      </c>
      <c r="S19" s="139" t="str">
        <f ca="1">_xlfn.BASE(N19,16,2)</f>
        <v>54</v>
      </c>
      <c r="T19" s="139" t="str">
        <f t="shared" ref="T19:U22" ca="1" si="6">_xlfn.BASE(O19,16,2)</f>
        <v>54</v>
      </c>
      <c r="U19" s="11" t="str">
        <f t="shared" ca="1" si="6"/>
        <v>B9</v>
      </c>
      <c r="V19" s="239"/>
    </row>
    <row r="20" spans="1:42" ht="21" x14ac:dyDescent="0.35">
      <c r="B20" s="241"/>
      <c r="C20" s="139" t="s">
        <v>57</v>
      </c>
      <c r="D20" s="139" t="s">
        <v>61</v>
      </c>
      <c r="E20" s="139" t="s">
        <v>65</v>
      </c>
      <c r="F20" s="88" t="s">
        <v>69</v>
      </c>
      <c r="G20" s="21" t="s">
        <v>8</v>
      </c>
      <c r="H20" s="139" t="str">
        <f t="shared" ca="1" si="5"/>
        <v>00011010</v>
      </c>
      <c r="I20" s="139" t="str">
        <f ca="1">_xlfn.BASE(N20,2,8)</f>
        <v>10010000</v>
      </c>
      <c r="J20" s="139" t="str">
        <f t="shared" ca="1" si="5"/>
        <v>10100000</v>
      </c>
      <c r="K20" s="88" t="str">
        <f t="shared" ca="1" si="5"/>
        <v>00000100</v>
      </c>
      <c r="L20" s="22" t="s">
        <v>8</v>
      </c>
      <c r="M20" s="139">
        <f ca="1">D16</f>
        <v>26</v>
      </c>
      <c r="N20" s="139">
        <f ca="1">H16</f>
        <v>144</v>
      </c>
      <c r="O20" s="139">
        <f ca="1">L16</f>
        <v>160</v>
      </c>
      <c r="P20" s="88">
        <f ca="1">P16</f>
        <v>4</v>
      </c>
      <c r="Q20" s="44" t="s">
        <v>8</v>
      </c>
      <c r="R20" s="139" t="str">
        <f ca="1">_xlfn.BASE(M20,16,2)</f>
        <v>1A</v>
      </c>
      <c r="S20" s="139" t="str">
        <f t="shared" ref="S20:S22" ca="1" si="7">_xlfn.BASE(N20,16,2)</f>
        <v>90</v>
      </c>
      <c r="T20" s="139" t="str">
        <f t="shared" ca="1" si="6"/>
        <v>A0</v>
      </c>
      <c r="U20" s="88" t="str">
        <f t="shared" ca="1" si="6"/>
        <v>04</v>
      </c>
      <c r="V20" s="239"/>
    </row>
    <row r="21" spans="1:42" x14ac:dyDescent="0.25">
      <c r="B21" s="241"/>
      <c r="C21" s="139" t="s">
        <v>58</v>
      </c>
      <c r="D21" s="139" t="s">
        <v>62</v>
      </c>
      <c r="E21" s="139" t="s">
        <v>66</v>
      </c>
      <c r="F21" s="88" t="s">
        <v>70</v>
      </c>
      <c r="G21" s="4"/>
      <c r="H21" s="139" t="str">
        <f t="shared" ca="1" si="5"/>
        <v>10000100</v>
      </c>
      <c r="I21" s="139" t="str">
        <f ca="1">_xlfn.BASE(N21,2,8)</f>
        <v>10101101</v>
      </c>
      <c r="J21" s="139" t="str">
        <f t="shared" ca="1" si="5"/>
        <v>00010000</v>
      </c>
      <c r="K21" s="88" t="str">
        <f t="shared" ca="1" si="5"/>
        <v>11110101</v>
      </c>
      <c r="L21" s="4"/>
      <c r="M21" s="139">
        <f ca="1">E16</f>
        <v>132</v>
      </c>
      <c r="N21" s="139">
        <f ca="1">I16</f>
        <v>173</v>
      </c>
      <c r="O21" s="139">
        <f ca="1">M16</f>
        <v>16</v>
      </c>
      <c r="P21" s="88">
        <f ca="1">Q16</f>
        <v>245</v>
      </c>
      <c r="Q21" s="4"/>
      <c r="R21" s="139" t="str">
        <f ca="1">_xlfn.BASE(M21,16,2)</f>
        <v>84</v>
      </c>
      <c r="S21" s="139" t="str">
        <f t="shared" ca="1" si="7"/>
        <v>AD</v>
      </c>
      <c r="T21" s="139" t="str">
        <f t="shared" ca="1" si="6"/>
        <v>10</v>
      </c>
      <c r="U21" s="88" t="str">
        <f t="shared" ca="1" si="6"/>
        <v>F5</v>
      </c>
      <c r="V21" s="239"/>
    </row>
    <row r="22" spans="1:42" ht="15.75" thickBot="1" x14ac:dyDescent="0.3">
      <c r="B22" s="241"/>
      <c r="C22" s="16" t="s">
        <v>59</v>
      </c>
      <c r="D22" s="139" t="s">
        <v>63</v>
      </c>
      <c r="E22" s="139" t="s">
        <v>67</v>
      </c>
      <c r="F22" s="14" t="s">
        <v>71</v>
      </c>
      <c r="G22" s="4"/>
      <c r="H22" s="16" t="str">
        <f t="shared" ca="1" si="5"/>
        <v>00110100</v>
      </c>
      <c r="I22" s="139" t="str">
        <f ca="1">_xlfn.BASE(N22,2,8)</f>
        <v>10110000</v>
      </c>
      <c r="J22" s="139" t="str">
        <f t="shared" ca="1" si="5"/>
        <v>11000110</v>
      </c>
      <c r="K22" s="88" t="str">
        <f t="shared" ca="1" si="5"/>
        <v>11110100</v>
      </c>
      <c r="L22" s="4"/>
      <c r="M22" s="139">
        <f ca="1">F16</f>
        <v>52</v>
      </c>
      <c r="N22" s="139">
        <f ca="1">J16</f>
        <v>176</v>
      </c>
      <c r="O22" s="139">
        <f ca="1">N16</f>
        <v>198</v>
      </c>
      <c r="P22" s="88">
        <f ca="1">R16</f>
        <v>244</v>
      </c>
      <c r="Q22" s="4"/>
      <c r="R22" s="16" t="str">
        <f ca="1">_xlfn.BASE(M22,16,2)</f>
        <v>34</v>
      </c>
      <c r="S22" s="139" t="str">
        <f t="shared" ca="1" si="7"/>
        <v>B0</v>
      </c>
      <c r="T22" s="139" t="str">
        <f t="shared" ca="1" si="6"/>
        <v>C6</v>
      </c>
      <c r="U22" s="14" t="str">
        <f t="shared" ca="1" si="6"/>
        <v>F4</v>
      </c>
      <c r="V22" s="239"/>
    </row>
    <row r="23" spans="1:42" ht="15.75" thickBot="1" x14ac:dyDescent="0.3">
      <c r="B23" s="242"/>
      <c r="C23" s="243"/>
      <c r="D23" s="243"/>
      <c r="E23" s="243"/>
      <c r="F23" s="243"/>
      <c r="G23" s="243"/>
      <c r="H23" s="243"/>
      <c r="I23" s="243"/>
      <c r="J23" s="243"/>
      <c r="K23" s="244"/>
      <c r="L23" s="243"/>
      <c r="M23" s="244"/>
      <c r="N23" s="243"/>
      <c r="O23" s="243"/>
      <c r="P23" s="244"/>
      <c r="Q23" s="243"/>
      <c r="R23" s="243"/>
      <c r="S23" s="243"/>
      <c r="T23" s="243"/>
      <c r="U23" s="243"/>
      <c r="V23" s="245"/>
    </row>
    <row r="24" spans="1:42" ht="16.5" thickTop="1" thickBot="1" x14ac:dyDescent="0.3">
      <c r="B24" s="3"/>
    </row>
    <row r="25" spans="1:42" ht="27" thickTop="1" x14ac:dyDescent="0.4">
      <c r="B25" s="247" t="s">
        <v>317</v>
      </c>
      <c r="C25" s="248"/>
      <c r="D25" s="248"/>
      <c r="E25" s="248"/>
      <c r="F25" s="248"/>
      <c r="G25" s="248"/>
      <c r="H25" s="248"/>
      <c r="I25" s="248"/>
      <c r="J25" s="248"/>
      <c r="K25" s="248"/>
      <c r="L25" s="248"/>
      <c r="M25" s="248"/>
      <c r="N25" s="248"/>
      <c r="O25" s="248"/>
      <c r="P25" s="248"/>
      <c r="Q25" s="248"/>
      <c r="R25" s="248"/>
      <c r="S25" s="248"/>
      <c r="T25" s="248"/>
      <c r="U25" s="248"/>
      <c r="V25" s="248"/>
      <c r="W25" s="248"/>
      <c r="X25" s="248"/>
      <c r="Y25" s="248"/>
      <c r="Z25" s="248"/>
      <c r="AA25" s="248"/>
      <c r="AB25" s="248"/>
      <c r="AC25" s="248"/>
      <c r="AD25" s="248"/>
      <c r="AE25" s="248"/>
      <c r="AF25" s="248"/>
      <c r="AG25" s="248"/>
      <c r="AH25" s="248"/>
      <c r="AI25" s="248"/>
      <c r="AJ25" s="248"/>
      <c r="AK25" s="248"/>
      <c r="AL25" s="248"/>
      <c r="AM25" s="248"/>
      <c r="AN25" s="248"/>
      <c r="AO25" s="248"/>
      <c r="AP25" s="249"/>
    </row>
    <row r="26" spans="1:42" x14ac:dyDescent="0.25">
      <c r="B26" s="250"/>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251"/>
    </row>
    <row r="27" spans="1:42" ht="21" x14ac:dyDescent="0.35">
      <c r="B27" s="250"/>
      <c r="C27" s="28"/>
      <c r="D27" s="28"/>
      <c r="E27" s="381" t="s">
        <v>50</v>
      </c>
      <c r="F27" s="381"/>
      <c r="G27" s="381"/>
      <c r="H27" s="381"/>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251"/>
    </row>
    <row r="28" spans="1:42" ht="15.75" thickBot="1" x14ac:dyDescent="0.3">
      <c r="B28" s="250"/>
      <c r="C28" s="3"/>
      <c r="D28" s="3"/>
      <c r="E28" s="141">
        <v>0</v>
      </c>
      <c r="F28" s="141">
        <v>1</v>
      </c>
      <c r="G28" s="141">
        <v>2</v>
      </c>
      <c r="H28" s="141">
        <v>3</v>
      </c>
      <c r="I28" s="3"/>
      <c r="J28" s="3"/>
      <c r="K28" s="3"/>
      <c r="L28" s="3"/>
      <c r="M28" s="3"/>
      <c r="N28" s="3"/>
      <c r="O28" s="3"/>
      <c r="P28" s="3"/>
      <c r="Q28" s="2"/>
      <c r="R28" s="3"/>
      <c r="S28" s="3"/>
      <c r="T28" s="2"/>
      <c r="U28" s="3"/>
      <c r="V28" s="3"/>
      <c r="W28" s="3"/>
      <c r="X28" s="3"/>
      <c r="Y28" s="3"/>
      <c r="Z28" s="3"/>
      <c r="AA28" s="3"/>
      <c r="AB28" s="3"/>
      <c r="AC28" s="3"/>
      <c r="AD28" s="3"/>
      <c r="AE28" s="3"/>
      <c r="AF28" s="3"/>
      <c r="AG28" s="3"/>
      <c r="AH28" s="3"/>
      <c r="AI28" s="3"/>
      <c r="AJ28" s="3"/>
      <c r="AK28" s="3"/>
      <c r="AL28" s="3"/>
      <c r="AM28" s="3"/>
      <c r="AN28" s="3"/>
      <c r="AO28" s="3"/>
      <c r="AP28" s="251"/>
    </row>
    <row r="29" spans="1:42" x14ac:dyDescent="0.25">
      <c r="B29" s="250"/>
      <c r="C29" s="359" t="s">
        <v>49</v>
      </c>
      <c r="D29" s="140">
        <v>0</v>
      </c>
      <c r="E29" s="8" t="s">
        <v>56</v>
      </c>
      <c r="F29" s="139" t="s">
        <v>60</v>
      </c>
      <c r="G29" s="139" t="s">
        <v>64</v>
      </c>
      <c r="H29" s="11" t="s">
        <v>68</v>
      </c>
      <c r="I29" s="4"/>
      <c r="J29" s="143">
        <v>14</v>
      </c>
      <c r="K29" s="139">
        <v>11</v>
      </c>
      <c r="L29" s="139">
        <v>13</v>
      </c>
      <c r="M29" s="11">
        <v>9</v>
      </c>
      <c r="O29" s="12" t="s">
        <v>51</v>
      </c>
      <c r="P29" s="4"/>
      <c r="Q29" s="8" t="s">
        <v>26</v>
      </c>
      <c r="R29" s="139" t="s">
        <v>30</v>
      </c>
      <c r="S29" s="139" t="s">
        <v>34</v>
      </c>
      <c r="T29" s="11" t="s">
        <v>38</v>
      </c>
      <c r="U29" s="5"/>
      <c r="V29" s="3"/>
      <c r="W29" s="141"/>
      <c r="X29" s="139"/>
      <c r="Y29" s="3"/>
      <c r="Z29" s="3"/>
      <c r="AA29" s="141"/>
      <c r="AB29" s="139"/>
      <c r="AC29" s="3"/>
      <c r="AD29" s="3"/>
      <c r="AE29" s="3"/>
      <c r="AF29" s="3"/>
      <c r="AG29" s="3"/>
      <c r="AH29" s="3"/>
      <c r="AI29" s="3"/>
      <c r="AJ29" s="3"/>
      <c r="AK29" s="3"/>
      <c r="AL29" s="3"/>
      <c r="AM29" s="3"/>
      <c r="AN29" s="3"/>
      <c r="AO29" s="3"/>
      <c r="AP29" s="251"/>
    </row>
    <row r="30" spans="1:42" ht="21" x14ac:dyDescent="0.35">
      <c r="B30" s="250"/>
      <c r="C30" s="359"/>
      <c r="D30" s="140">
        <v>1</v>
      </c>
      <c r="E30" s="139" t="s">
        <v>57</v>
      </c>
      <c r="F30" s="28" t="s">
        <v>61</v>
      </c>
      <c r="G30" s="139" t="s">
        <v>65</v>
      </c>
      <c r="H30" s="88" t="s">
        <v>69</v>
      </c>
      <c r="I30" s="4"/>
      <c r="J30" s="139">
        <v>9</v>
      </c>
      <c r="K30" s="139">
        <v>14</v>
      </c>
      <c r="L30" s="139">
        <v>11</v>
      </c>
      <c r="M30" s="88">
        <v>13</v>
      </c>
      <c r="N30" s="22" t="s">
        <v>25</v>
      </c>
      <c r="O30" s="12" t="s">
        <v>51</v>
      </c>
      <c r="P30" s="19" t="s">
        <v>8</v>
      </c>
      <c r="Q30" s="139" t="s">
        <v>31</v>
      </c>
      <c r="R30" s="139" t="s">
        <v>35</v>
      </c>
      <c r="S30" s="139" t="s">
        <v>39</v>
      </c>
      <c r="T30" s="88" t="s">
        <v>27</v>
      </c>
      <c r="U30" s="3"/>
      <c r="V30" s="3"/>
      <c r="W30" s="3"/>
      <c r="AB30" s="3"/>
      <c r="AC30" s="3"/>
      <c r="AD30" s="3"/>
      <c r="AE30" s="3"/>
      <c r="AF30" s="3"/>
      <c r="AG30" s="3"/>
      <c r="AH30" s="3"/>
      <c r="AI30" s="3"/>
      <c r="AJ30" s="3"/>
      <c r="AK30" s="3"/>
      <c r="AL30" s="3"/>
      <c r="AM30" s="3"/>
      <c r="AN30" s="3"/>
      <c r="AO30" s="3"/>
      <c r="AP30" s="251"/>
    </row>
    <row r="31" spans="1:42" x14ac:dyDescent="0.25">
      <c r="B31" s="250"/>
      <c r="C31" s="359"/>
      <c r="D31" s="140">
        <v>2</v>
      </c>
      <c r="E31" s="139" t="s">
        <v>58</v>
      </c>
      <c r="F31" s="139" t="s">
        <v>62</v>
      </c>
      <c r="G31" s="139" t="s">
        <v>66</v>
      </c>
      <c r="H31" s="88" t="s">
        <v>70</v>
      </c>
      <c r="I31" s="4"/>
      <c r="J31" s="139">
        <v>13</v>
      </c>
      <c r="K31" s="139">
        <v>9</v>
      </c>
      <c r="L31" s="139">
        <v>14</v>
      </c>
      <c r="M31" s="88">
        <v>11</v>
      </c>
      <c r="O31" s="12" t="s">
        <v>51</v>
      </c>
      <c r="P31" s="4"/>
      <c r="Q31" s="139" t="s">
        <v>36</v>
      </c>
      <c r="R31" s="139" t="s">
        <v>40</v>
      </c>
      <c r="S31" s="139" t="s">
        <v>28</v>
      </c>
      <c r="T31" s="88" t="s">
        <v>32</v>
      </c>
      <c r="U31" s="5"/>
      <c r="V31" s="3"/>
      <c r="W31" s="3"/>
      <c r="AB31" s="3"/>
      <c r="AC31" s="3"/>
      <c r="AD31" s="3"/>
      <c r="AE31" s="3"/>
      <c r="AF31" s="3"/>
      <c r="AG31" s="3"/>
      <c r="AH31" s="3"/>
      <c r="AI31" s="3"/>
      <c r="AJ31" s="3"/>
      <c r="AK31" s="3"/>
      <c r="AL31" s="3"/>
      <c r="AM31" s="3"/>
      <c r="AN31" s="3"/>
      <c r="AO31" s="3"/>
      <c r="AP31" s="251"/>
    </row>
    <row r="32" spans="1:42" ht="15.75" thickBot="1" x14ac:dyDescent="0.3">
      <c r="B32" s="250"/>
      <c r="C32" s="359"/>
      <c r="D32" s="140">
        <v>3</v>
      </c>
      <c r="E32" s="16" t="s">
        <v>59</v>
      </c>
      <c r="F32" s="139" t="s">
        <v>63</v>
      </c>
      <c r="G32" s="139" t="s">
        <v>67</v>
      </c>
      <c r="H32" s="14" t="s">
        <v>71</v>
      </c>
      <c r="I32" s="4"/>
      <c r="J32" s="16">
        <v>11</v>
      </c>
      <c r="K32" s="139">
        <v>13</v>
      </c>
      <c r="L32" s="139">
        <v>9</v>
      </c>
      <c r="M32" s="14">
        <v>14</v>
      </c>
      <c r="O32" s="12" t="s">
        <v>51</v>
      </c>
      <c r="P32" s="4"/>
      <c r="Q32" s="16" t="s">
        <v>41</v>
      </c>
      <c r="R32" s="139" t="s">
        <v>29</v>
      </c>
      <c r="S32" s="139" t="s">
        <v>33</v>
      </c>
      <c r="T32" s="14" t="s">
        <v>37</v>
      </c>
      <c r="U32" s="5"/>
      <c r="V32" s="3"/>
      <c r="W32" s="3"/>
      <c r="AB32" s="3"/>
      <c r="AC32" s="28"/>
      <c r="AD32" s="28"/>
      <c r="AE32" s="28"/>
      <c r="AF32" s="28"/>
      <c r="AG32" s="3"/>
      <c r="AH32" s="3"/>
      <c r="AI32" s="3"/>
      <c r="AJ32" s="3"/>
      <c r="AK32" s="3"/>
      <c r="AL32" s="3"/>
      <c r="AM32" s="3"/>
      <c r="AN32" s="3"/>
      <c r="AO32" s="3"/>
      <c r="AP32" s="251"/>
    </row>
    <row r="33" spans="2:51" x14ac:dyDescent="0.25">
      <c r="B33" s="250"/>
      <c r="C33" s="3"/>
      <c r="D33" s="3"/>
      <c r="E33" s="3"/>
      <c r="F33" s="3"/>
      <c r="G33" s="3"/>
      <c r="H33" s="3"/>
      <c r="I33" s="3"/>
      <c r="J33" s="3"/>
      <c r="K33" s="3"/>
      <c r="L33" s="3"/>
      <c r="M33" s="3"/>
      <c r="N33" s="3"/>
      <c r="O33" s="3"/>
      <c r="P33" s="3"/>
      <c r="Q33" s="6"/>
      <c r="R33" s="3"/>
      <c r="S33" s="3"/>
      <c r="T33" s="3"/>
      <c r="U33" s="3"/>
      <c r="V33" s="3"/>
      <c r="W33" s="3"/>
      <c r="AB33" s="3"/>
      <c r="AC33" s="28"/>
      <c r="AD33" s="28"/>
      <c r="AE33" s="28"/>
      <c r="AF33" s="28"/>
      <c r="AG33" s="3"/>
      <c r="AH33" s="3"/>
      <c r="AI33" s="3"/>
      <c r="AJ33" s="3"/>
      <c r="AK33" s="3"/>
      <c r="AL33" s="3"/>
      <c r="AM33" s="3"/>
      <c r="AN33" s="3"/>
      <c r="AO33" s="3"/>
      <c r="AP33" s="251"/>
    </row>
    <row r="34" spans="2:51" x14ac:dyDescent="0.25">
      <c r="B34" s="250"/>
      <c r="C34" s="3"/>
      <c r="D34" s="3"/>
      <c r="E34" s="3"/>
      <c r="F34" s="3"/>
      <c r="G34" s="3"/>
      <c r="H34" s="3"/>
      <c r="I34" s="3"/>
      <c r="J34" s="3"/>
      <c r="K34" s="3"/>
      <c r="L34" s="3"/>
      <c r="M34" s="3"/>
      <c r="N34" s="3"/>
      <c r="O34" s="3"/>
      <c r="P34" s="3"/>
      <c r="Q34" s="3"/>
      <c r="R34" s="3"/>
      <c r="S34" s="3"/>
      <c r="T34" s="3"/>
      <c r="U34" s="3"/>
      <c r="V34" s="3"/>
      <c r="W34" s="3"/>
      <c r="X34" s="3"/>
      <c r="Y34" s="3"/>
      <c r="Z34" s="3"/>
      <c r="AA34" s="3"/>
      <c r="AB34" s="3"/>
      <c r="AC34" s="28"/>
      <c r="AD34" s="28"/>
      <c r="AE34" s="28"/>
      <c r="AF34" s="28"/>
      <c r="AG34" s="3"/>
      <c r="AH34" s="3"/>
      <c r="AI34" s="3"/>
      <c r="AJ34" s="3"/>
      <c r="AK34" s="3"/>
      <c r="AL34" s="3"/>
      <c r="AM34" s="3"/>
      <c r="AN34" s="3"/>
      <c r="AO34" s="3"/>
      <c r="AP34" s="251"/>
    </row>
    <row r="35" spans="2:51" x14ac:dyDescent="0.25">
      <c r="B35" s="250"/>
      <c r="C35" s="3"/>
      <c r="D35" s="3"/>
      <c r="E35" s="3"/>
      <c r="F35" s="3"/>
      <c r="G35" s="3"/>
      <c r="H35" s="3"/>
      <c r="I35" s="3"/>
      <c r="J35" s="3"/>
      <c r="K35" s="3"/>
      <c r="L35" s="3"/>
      <c r="M35" s="3"/>
      <c r="N35" s="3"/>
      <c r="O35" s="3"/>
      <c r="P35" s="3"/>
      <c r="Q35" s="3"/>
      <c r="R35" s="3"/>
      <c r="S35" s="3"/>
      <c r="T35" s="3"/>
      <c r="U35" s="3"/>
      <c r="V35" s="3"/>
      <c r="W35" s="3"/>
      <c r="X35" s="3"/>
      <c r="Y35" s="3"/>
      <c r="Z35" s="3"/>
      <c r="AA35" s="3"/>
      <c r="AB35" s="3"/>
      <c r="AC35" s="28"/>
      <c r="AD35" s="28"/>
      <c r="AE35" s="28"/>
      <c r="AF35" s="28"/>
      <c r="AG35" s="3"/>
      <c r="AH35" s="3"/>
      <c r="AI35" s="3"/>
      <c r="AJ35" s="3"/>
      <c r="AK35" s="3"/>
      <c r="AL35" s="3"/>
      <c r="AM35" s="3"/>
      <c r="AN35" s="3"/>
      <c r="AO35" s="3"/>
      <c r="AP35" s="251"/>
    </row>
    <row r="36" spans="2:51" x14ac:dyDescent="0.25">
      <c r="B36" s="250"/>
      <c r="C36" s="12" t="s">
        <v>52</v>
      </c>
      <c r="D36" s="3"/>
      <c r="E36" s="141">
        <f ca="1">M19</f>
        <v>208</v>
      </c>
      <c r="F36" s="141"/>
      <c r="G36" s="12" t="s">
        <v>299</v>
      </c>
      <c r="H36" s="3"/>
      <c r="I36" s="141">
        <f ca="1">N19</f>
        <v>84</v>
      </c>
      <c r="J36" s="141"/>
      <c r="K36" s="12" t="s">
        <v>301</v>
      </c>
      <c r="L36" s="3"/>
      <c r="M36" s="141">
        <f ca="1">O19</f>
        <v>84</v>
      </c>
      <c r="N36" s="141"/>
      <c r="O36" s="12" t="s">
        <v>302</v>
      </c>
      <c r="P36" s="3"/>
      <c r="Q36" s="141">
        <f ca="1">P19</f>
        <v>185</v>
      </c>
      <c r="R36" s="3"/>
      <c r="S36" s="3"/>
      <c r="T36" s="3"/>
      <c r="U36" s="3"/>
      <c r="V36" s="3"/>
      <c r="W36" s="3"/>
      <c r="X36" s="3"/>
      <c r="Y36" s="3"/>
      <c r="Z36" s="3"/>
      <c r="AA36" s="3"/>
      <c r="AB36" s="3"/>
      <c r="AC36" s="28"/>
      <c r="AD36" s="28"/>
      <c r="AE36" s="28"/>
      <c r="AF36" s="3"/>
      <c r="AG36" s="3"/>
      <c r="AH36" s="3"/>
      <c r="AI36" s="3"/>
      <c r="AJ36" s="3"/>
      <c r="AK36" s="3"/>
      <c r="AL36" s="3"/>
      <c r="AM36" s="3"/>
      <c r="AN36" s="3"/>
      <c r="AO36" s="3"/>
      <c r="AP36" s="251"/>
    </row>
    <row r="37" spans="2:51" ht="21" x14ac:dyDescent="0.25">
      <c r="B37" s="250"/>
      <c r="C37" s="12" t="s">
        <v>53</v>
      </c>
      <c r="D37" s="150" t="s">
        <v>8</v>
      </c>
      <c r="E37" s="141">
        <f ca="1">M20</f>
        <v>26</v>
      </c>
      <c r="F37" s="141"/>
      <c r="G37" s="12" t="s">
        <v>300</v>
      </c>
      <c r="H37" s="150" t="s">
        <v>8</v>
      </c>
      <c r="I37" s="141">
        <f ca="1">N20</f>
        <v>144</v>
      </c>
      <c r="J37" s="141"/>
      <c r="K37" s="12" t="s">
        <v>304</v>
      </c>
      <c r="L37" s="150" t="s">
        <v>8</v>
      </c>
      <c r="M37" s="141">
        <f ca="1">O20</f>
        <v>160</v>
      </c>
      <c r="N37" s="141"/>
      <c r="O37" s="12" t="s">
        <v>308</v>
      </c>
      <c r="P37" s="150" t="s">
        <v>8</v>
      </c>
      <c r="Q37" s="141">
        <f ca="1">P20</f>
        <v>4</v>
      </c>
      <c r="R37" s="3"/>
      <c r="S37" s="3"/>
      <c r="T37" s="3"/>
      <c r="U37" s="3"/>
      <c r="V37" s="3"/>
      <c r="W37" s="3"/>
      <c r="X37" s="3"/>
      <c r="Y37" s="3"/>
      <c r="Z37" s="3"/>
      <c r="AA37" s="3"/>
      <c r="AB37" s="3"/>
      <c r="AC37" s="28"/>
      <c r="AD37" s="28"/>
      <c r="AE37" s="28"/>
      <c r="AF37" s="28"/>
      <c r="AG37" s="3"/>
      <c r="AH37" s="3"/>
      <c r="AI37" s="3"/>
      <c r="AJ37" s="3"/>
      <c r="AK37" s="3"/>
      <c r="AL37" s="3"/>
      <c r="AM37" s="3"/>
      <c r="AN37" s="3"/>
      <c r="AO37" s="3"/>
      <c r="AP37" s="251"/>
      <c r="AQ37" s="361"/>
      <c r="AR37" s="361"/>
      <c r="AS37" s="361"/>
      <c r="AT37" s="361"/>
      <c r="AV37" s="361"/>
      <c r="AW37" s="361"/>
      <c r="AX37" s="361"/>
      <c r="AY37" s="361"/>
    </row>
    <row r="38" spans="2:51" x14ac:dyDescent="0.25">
      <c r="B38" s="250"/>
      <c r="C38" s="12" t="s">
        <v>54</v>
      </c>
      <c r="D38" s="3"/>
      <c r="E38" s="141">
        <f ca="1">M21</f>
        <v>132</v>
      </c>
      <c r="F38" s="141"/>
      <c r="G38" s="12" t="s">
        <v>303</v>
      </c>
      <c r="H38" s="3"/>
      <c r="I38" s="141">
        <f ca="1">N21</f>
        <v>173</v>
      </c>
      <c r="J38" s="141"/>
      <c r="K38" s="12" t="s">
        <v>306</v>
      </c>
      <c r="L38" s="3"/>
      <c r="M38" s="141">
        <f ca="1">O21</f>
        <v>16</v>
      </c>
      <c r="N38" s="141"/>
      <c r="O38" s="12" t="s">
        <v>309</v>
      </c>
      <c r="P38" s="3"/>
      <c r="Q38" s="141">
        <f ca="1">P21</f>
        <v>245</v>
      </c>
      <c r="R38" s="3"/>
      <c r="S38" s="3"/>
      <c r="T38" s="3"/>
      <c r="U38" s="3"/>
      <c r="V38" s="3"/>
      <c r="W38" s="3"/>
      <c r="X38" s="3"/>
      <c r="Y38" s="3"/>
      <c r="Z38" s="3"/>
      <c r="AA38" s="3"/>
      <c r="AB38" s="3"/>
      <c r="AC38" s="28"/>
      <c r="AD38" s="28"/>
      <c r="AE38" s="28"/>
      <c r="AF38" s="28"/>
      <c r="AG38" s="28"/>
      <c r="AH38" s="28"/>
      <c r="AI38" s="3"/>
      <c r="AJ38" s="3"/>
      <c r="AK38" s="3"/>
      <c r="AL38" s="3"/>
      <c r="AM38" s="3"/>
      <c r="AN38" s="3"/>
      <c r="AO38" s="3"/>
      <c r="AP38" s="251"/>
    </row>
    <row r="39" spans="2:51" x14ac:dyDescent="0.25">
      <c r="B39" s="250"/>
      <c r="C39" s="12" t="s">
        <v>55</v>
      </c>
      <c r="D39" s="3"/>
      <c r="E39" s="141">
        <f ca="1">M22</f>
        <v>52</v>
      </c>
      <c r="F39" s="141"/>
      <c r="G39" s="12" t="s">
        <v>305</v>
      </c>
      <c r="H39" s="3"/>
      <c r="I39" s="141">
        <f ca="1">N22</f>
        <v>176</v>
      </c>
      <c r="J39" s="141"/>
      <c r="K39" s="12" t="s">
        <v>307</v>
      </c>
      <c r="L39" s="3"/>
      <c r="M39" s="141">
        <f ca="1">O22</f>
        <v>198</v>
      </c>
      <c r="N39" s="141"/>
      <c r="O39" s="12" t="s">
        <v>310</v>
      </c>
      <c r="P39" s="3"/>
      <c r="Q39" s="141">
        <f ca="1">P22</f>
        <v>244</v>
      </c>
      <c r="R39" s="3"/>
      <c r="S39" s="3"/>
      <c r="T39" s="3"/>
      <c r="U39" s="3"/>
      <c r="V39" s="3"/>
      <c r="W39" s="3"/>
      <c r="X39" s="3"/>
      <c r="Y39" s="3"/>
      <c r="Z39" s="3"/>
      <c r="AA39" s="3"/>
      <c r="AB39" s="3"/>
      <c r="AC39" s="28"/>
      <c r="AD39" s="28"/>
      <c r="AE39" s="28"/>
      <c r="AF39" s="3"/>
      <c r="AG39" s="28"/>
      <c r="AH39" s="28"/>
      <c r="AI39" s="3"/>
      <c r="AJ39" s="3"/>
      <c r="AK39" s="3"/>
      <c r="AL39" s="3"/>
      <c r="AM39" s="3"/>
      <c r="AN39" s="3"/>
      <c r="AO39" s="3"/>
      <c r="AP39" s="252"/>
    </row>
    <row r="40" spans="2:51" x14ac:dyDescent="0.25">
      <c r="B40" s="250"/>
      <c r="C40" s="139"/>
      <c r="D40" s="3"/>
      <c r="E40" s="141"/>
      <c r="F40" s="141"/>
      <c r="G40" s="139"/>
      <c r="H40" s="3"/>
      <c r="I40" s="141"/>
      <c r="J40" s="141"/>
      <c r="K40" s="139"/>
      <c r="L40" s="3"/>
      <c r="M40" s="141"/>
      <c r="N40" s="141"/>
      <c r="O40" s="139"/>
      <c r="P40" s="3"/>
      <c r="Q40" s="141"/>
      <c r="R40" s="3"/>
      <c r="S40" s="3"/>
      <c r="T40" s="3"/>
      <c r="U40" s="3"/>
      <c r="V40" s="3"/>
      <c r="W40" s="3"/>
      <c r="X40" s="3"/>
      <c r="Y40" s="3"/>
      <c r="Z40" s="3"/>
      <c r="AA40" s="3"/>
      <c r="AB40" s="3"/>
      <c r="AC40" s="28"/>
      <c r="AD40" s="28"/>
      <c r="AE40" s="28"/>
      <c r="AF40" s="28"/>
      <c r="AG40" s="28"/>
      <c r="AH40" s="28"/>
      <c r="AI40" s="3"/>
      <c r="AJ40" s="3"/>
      <c r="AK40" s="3"/>
      <c r="AL40" s="3"/>
      <c r="AM40" s="3"/>
      <c r="AN40" s="3"/>
      <c r="AO40" s="3"/>
      <c r="AP40" s="252"/>
    </row>
    <row r="41" spans="2:51" ht="15.75" x14ac:dyDescent="0.25">
      <c r="B41" s="250"/>
      <c r="C41" s="3"/>
      <c r="D41" s="3"/>
      <c r="E41" s="246"/>
      <c r="F41" s="246"/>
      <c r="G41" s="3"/>
      <c r="H41" s="3"/>
      <c r="I41" s="3"/>
      <c r="J41" s="3"/>
      <c r="K41" s="339"/>
      <c r="L41" s="339"/>
      <c r="M41" s="3"/>
      <c r="N41" s="3"/>
      <c r="O41" s="3"/>
      <c r="P41" s="3"/>
      <c r="Q41" s="3"/>
      <c r="R41" s="3"/>
      <c r="S41" s="3"/>
      <c r="T41" s="3"/>
      <c r="U41" s="3"/>
      <c r="V41" s="3"/>
      <c r="W41" s="3"/>
      <c r="X41" s="3"/>
      <c r="Y41" s="3"/>
      <c r="Z41" s="3"/>
      <c r="AA41" s="3"/>
      <c r="AB41" s="3"/>
      <c r="AC41" s="28"/>
      <c r="AD41" s="28"/>
      <c r="AE41" s="28"/>
      <c r="AF41" s="28"/>
      <c r="AG41" s="28"/>
      <c r="AH41" s="28"/>
      <c r="AI41" s="3"/>
      <c r="AJ41" s="141"/>
      <c r="AK41" s="141"/>
      <c r="AL41" s="139"/>
      <c r="AM41" s="3"/>
      <c r="AN41" s="141"/>
      <c r="AO41" s="3"/>
      <c r="AP41" s="252"/>
    </row>
    <row r="42" spans="2:51" x14ac:dyDescent="0.25">
      <c r="B42" s="250"/>
      <c r="C42" s="3"/>
      <c r="D42" s="3"/>
      <c r="E42" s="3"/>
      <c r="F42" s="3"/>
      <c r="G42" s="3"/>
      <c r="H42" s="139"/>
      <c r="I42" s="3"/>
      <c r="J42" s="3"/>
      <c r="K42" s="28"/>
      <c r="L42" s="28"/>
      <c r="M42" s="3"/>
      <c r="N42" s="3"/>
      <c r="O42" s="3"/>
      <c r="P42" s="3"/>
      <c r="Q42" s="3"/>
      <c r="R42" s="3"/>
      <c r="S42" s="3"/>
      <c r="T42" s="3"/>
      <c r="U42" s="28"/>
      <c r="V42" s="3"/>
      <c r="W42" s="3"/>
      <c r="X42" s="3"/>
      <c r="Y42" s="3"/>
      <c r="Z42" s="3"/>
      <c r="AA42" s="3"/>
      <c r="AB42" s="3"/>
      <c r="AC42" s="28"/>
      <c r="AD42" s="28"/>
      <c r="AE42" s="3"/>
      <c r="AF42" s="28"/>
      <c r="AG42" s="3"/>
      <c r="AH42" s="3"/>
      <c r="AI42" s="3"/>
      <c r="AJ42" s="3"/>
      <c r="AK42" s="3"/>
      <c r="AL42" s="3"/>
      <c r="AM42" s="3"/>
      <c r="AN42" s="3"/>
      <c r="AO42" s="3"/>
      <c r="AP42" s="252"/>
    </row>
    <row r="43" spans="2:51" x14ac:dyDescent="0.25">
      <c r="B43" s="250"/>
      <c r="C43" s="3"/>
      <c r="D43" s="339" t="s">
        <v>26</v>
      </c>
      <c r="E43" s="339"/>
      <c r="F43" s="339"/>
      <c r="G43" s="339"/>
      <c r="H43" s="139" t="s">
        <v>298</v>
      </c>
      <c r="I43" s="339" t="s">
        <v>256</v>
      </c>
      <c r="J43" s="339"/>
      <c r="K43" s="339"/>
      <c r="L43" s="139"/>
      <c r="M43" s="3"/>
      <c r="N43" s="339" t="s">
        <v>30</v>
      </c>
      <c r="O43" s="339"/>
      <c r="P43" s="339"/>
      <c r="Q43" s="339"/>
      <c r="R43" s="139" t="s">
        <v>298</v>
      </c>
      <c r="S43" s="339" t="s">
        <v>256</v>
      </c>
      <c r="T43" s="339"/>
      <c r="U43" s="339"/>
      <c r="V43" s="139"/>
      <c r="W43" s="3"/>
      <c r="X43" s="339" t="s">
        <v>34</v>
      </c>
      <c r="Y43" s="339"/>
      <c r="Z43" s="339"/>
      <c r="AA43" s="339"/>
      <c r="AB43" s="139" t="s">
        <v>298</v>
      </c>
      <c r="AC43" s="339" t="s">
        <v>256</v>
      </c>
      <c r="AD43" s="339"/>
      <c r="AE43" s="339"/>
      <c r="AF43" s="28"/>
      <c r="AG43" s="3"/>
      <c r="AH43" s="339" t="s">
        <v>38</v>
      </c>
      <c r="AI43" s="339"/>
      <c r="AJ43" s="339"/>
      <c r="AK43" s="339"/>
      <c r="AL43" s="139"/>
      <c r="AM43" s="339" t="s">
        <v>256</v>
      </c>
      <c r="AN43" s="339"/>
      <c r="AO43" s="339"/>
      <c r="AP43" s="251"/>
    </row>
    <row r="44" spans="2:51" x14ac:dyDescent="0.25">
      <c r="B44" s="380" t="s">
        <v>259</v>
      </c>
      <c r="C44" s="3"/>
      <c r="D44" s="139">
        <f ca="1">$E$36</f>
        <v>208</v>
      </c>
      <c r="E44" s="139">
        <f ca="1">$E$37</f>
        <v>26</v>
      </c>
      <c r="F44" s="139">
        <f ca="1">$E$38</f>
        <v>132</v>
      </c>
      <c r="G44" s="139">
        <f ca="1">$E$39</f>
        <v>52</v>
      </c>
      <c r="H44" s="139" t="str">
        <f ca="1">LEN(_xlfn.BASE(D44,2,8))&amp;","&amp;LEN(_xlfn.BASE(E44,2,8))&amp;","&amp;LEN(_xlfn.BASE(F44,2,8))&amp;","&amp;LEN(_xlfn.BASE(G44,2,8))</f>
        <v>8,8,8,8</v>
      </c>
      <c r="I44" s="339" t="str">
        <f ca="1">_xlfn.BASE(D44,2,8)&amp;","&amp;_xlfn.BASE(E44,2,8)&amp;","&amp;_xlfn.BASE(F44,2,8)&amp;","&amp;_xlfn.BASE(G44,2,8)</f>
        <v>11010000,00011010,10000100,00110100</v>
      </c>
      <c r="J44" s="339"/>
      <c r="K44" s="339"/>
      <c r="L44" s="139"/>
      <c r="M44" s="3"/>
      <c r="N44" s="139">
        <f ca="1">$I$36</f>
        <v>84</v>
      </c>
      <c r="O44" s="139">
        <f ca="1">$I$37</f>
        <v>144</v>
      </c>
      <c r="P44" s="139">
        <f ca="1">$I$38</f>
        <v>173</v>
      </c>
      <c r="Q44" s="139">
        <f ca="1">$I$39</f>
        <v>176</v>
      </c>
      <c r="R44" s="139" t="str">
        <f ca="1">LEN(_xlfn.BASE(N44,2,8))&amp;","&amp;LEN(_xlfn.BASE(O44,2,8))&amp;","&amp;LEN(_xlfn.BASE(P44,2,8))&amp;","&amp;LEN(_xlfn.BASE(Q44,2,8))</f>
        <v>8,8,8,8</v>
      </c>
      <c r="S44" s="339" t="str">
        <f ca="1">_xlfn.BASE(N44,2,8)&amp;","&amp;_xlfn.BASE(O44,2,8)&amp;","&amp;_xlfn.BASE(P44,2,8)&amp;","&amp;_xlfn.BASE(Q44,2,8)</f>
        <v>01010100,10010000,10101101,10110000</v>
      </c>
      <c r="T44" s="339"/>
      <c r="U44" s="339"/>
      <c r="V44" s="139"/>
      <c r="W44" s="3"/>
      <c r="X44" s="139">
        <f ca="1">$M$36</f>
        <v>84</v>
      </c>
      <c r="Y44" s="139">
        <f ca="1">$M$37</f>
        <v>160</v>
      </c>
      <c r="Z44" s="139">
        <f ca="1">$M$38</f>
        <v>16</v>
      </c>
      <c r="AA44" s="139">
        <f ca="1">$M$39</f>
        <v>198</v>
      </c>
      <c r="AB44" s="139" t="str">
        <f ca="1">LEN(_xlfn.BASE(X44,2,8))&amp;","&amp;LEN(_xlfn.BASE(Y44,2,8))&amp;","&amp;LEN(_xlfn.BASE(Z44,2,8))&amp;","&amp;LEN(_xlfn.BASE(AA44,2,8))</f>
        <v>8,8,8,8</v>
      </c>
      <c r="AC44" s="339" t="str">
        <f ca="1">_xlfn.BASE(X44,2,8)&amp;","&amp;_xlfn.BASE(Y44,2,8)&amp;","&amp;_xlfn.BASE(Z44,2,8)&amp;","&amp;_xlfn.BASE(AA44,2,8)</f>
        <v>01010100,10100000,00010000,11000110</v>
      </c>
      <c r="AD44" s="339"/>
      <c r="AE44" s="339"/>
      <c r="AF44" s="28"/>
      <c r="AG44" s="3"/>
      <c r="AH44" s="139">
        <f ca="1">$Q$36</f>
        <v>185</v>
      </c>
      <c r="AI44" s="139">
        <f ca="1">$Q$37</f>
        <v>4</v>
      </c>
      <c r="AJ44" s="139">
        <f ca="1">$Q$38</f>
        <v>245</v>
      </c>
      <c r="AK44" s="139">
        <f ca="1">$Q$39</f>
        <v>244</v>
      </c>
      <c r="AL44" s="139" t="str">
        <f ca="1">LEN(_xlfn.BASE(AH44,2,8))&amp;","&amp;LEN(_xlfn.BASE(AI44,2,8))&amp;","&amp;LEN(_xlfn.BASE(AJ44,2,8))&amp;","&amp;LEN(_xlfn.BASE(AK44,2,8))</f>
        <v>8,8,8,8</v>
      </c>
      <c r="AM44" s="339" t="str">
        <f ca="1">_xlfn.BASE(AH44,2,8)&amp;","&amp;_xlfn.BASE(AI44,2,8)&amp;","&amp;_xlfn.BASE(AJ44,2,8)&amp;","&amp;_xlfn.BASE(AK44,2,8)</f>
        <v>10111001,00000100,11110101,11110100</v>
      </c>
      <c r="AN44" s="339"/>
      <c r="AO44" s="339"/>
      <c r="AP44" s="251"/>
    </row>
    <row r="45" spans="2:51" x14ac:dyDescent="0.25">
      <c r="B45" s="380"/>
      <c r="C45" s="139" t="s">
        <v>312</v>
      </c>
      <c r="D45" s="145">
        <v>14</v>
      </c>
      <c r="E45" s="145">
        <v>11</v>
      </c>
      <c r="F45" s="145">
        <v>13</v>
      </c>
      <c r="G45" s="145">
        <v>9</v>
      </c>
      <c r="H45" s="323" t="str">
        <f>LEN(_xlfn.BASE(D45,2,4))&amp;","&amp;LEN(_xlfn.BASE(E45,2,4))&amp;","&amp;LEN(_xlfn.BASE(F45,2,4))&amp;","&amp;LEN(_xlfn.BASE(G45,2,4))</f>
        <v>4,4,4,4</v>
      </c>
      <c r="I45" s="366" t="str">
        <f>_xlfn.BASE(D45,2,4)&amp;","&amp;_xlfn.BASE(E45,2,4)&amp;","&amp;_xlfn.BASE(F45,2,4)&amp;","&amp;_xlfn.BASE(G45,2,4)</f>
        <v>1110,1011,1101,1001</v>
      </c>
      <c r="J45" s="366"/>
      <c r="K45" s="366"/>
      <c r="L45" s="139"/>
      <c r="M45" s="139" t="s">
        <v>312</v>
      </c>
      <c r="N45" s="145">
        <v>14</v>
      </c>
      <c r="O45" s="145">
        <v>11</v>
      </c>
      <c r="P45" s="145">
        <v>13</v>
      </c>
      <c r="Q45" s="145">
        <v>9</v>
      </c>
      <c r="R45" s="323" t="str">
        <f>LEN(_xlfn.BASE(N45,2,4))&amp;","&amp;LEN(_xlfn.BASE(O45,2,4))&amp;","&amp;LEN(_xlfn.BASE(P45,2,4))&amp;","&amp;LEN(_xlfn.BASE(Q45,2,4))</f>
        <v>4,4,4,4</v>
      </c>
      <c r="S45" s="366" t="str">
        <f>_xlfn.BASE(N45,2,4)&amp;","&amp;_xlfn.BASE(O45,2,4)&amp;","&amp;_xlfn.BASE(P45,2,4)&amp;","&amp;_xlfn.BASE(Q45,2,4)</f>
        <v>1110,1011,1101,1001</v>
      </c>
      <c r="T45" s="366"/>
      <c r="U45" s="366"/>
      <c r="V45" s="139"/>
      <c r="W45" s="139" t="s">
        <v>312</v>
      </c>
      <c r="X45" s="145">
        <v>14</v>
      </c>
      <c r="Y45" s="145">
        <v>11</v>
      </c>
      <c r="Z45" s="145">
        <v>13</v>
      </c>
      <c r="AA45" s="145">
        <v>9</v>
      </c>
      <c r="AB45" s="323" t="str">
        <f>LEN(_xlfn.BASE(X45,2,4))&amp;","&amp;LEN(_xlfn.BASE(Y45,2,4))&amp;","&amp;LEN(_xlfn.BASE(Z45,2,4))&amp;","&amp;LEN(_xlfn.BASE(AA45,2,4))</f>
        <v>4,4,4,4</v>
      </c>
      <c r="AC45" s="366" t="str">
        <f>_xlfn.BASE(X45,2,4)&amp;","&amp;_xlfn.BASE(Y45,2,4)&amp;","&amp;_xlfn.BASE(Z45,2,4)&amp;","&amp;_xlfn.BASE(AA45,2,4)</f>
        <v>1110,1011,1101,1001</v>
      </c>
      <c r="AD45" s="366"/>
      <c r="AE45" s="366"/>
      <c r="AF45" s="28"/>
      <c r="AG45" s="139" t="s">
        <v>312</v>
      </c>
      <c r="AH45" s="145">
        <v>14</v>
      </c>
      <c r="AI45" s="145">
        <v>11</v>
      </c>
      <c r="AJ45" s="145">
        <v>13</v>
      </c>
      <c r="AK45" s="145">
        <v>9</v>
      </c>
      <c r="AL45" s="323" t="str">
        <f>LEN(_xlfn.BASE(AH45,2,4))&amp;","&amp;LEN(_xlfn.BASE(AI45,2,4))&amp;","&amp;LEN(_xlfn.BASE(AJ45,2,4))&amp;","&amp;LEN(_xlfn.BASE(AK45,2,4))</f>
        <v>4,4,4,4</v>
      </c>
      <c r="AM45" s="366" t="str">
        <f>_xlfn.BASE(AH45,2,4)&amp;","&amp;_xlfn.BASE(AI45,2,4)&amp;","&amp;_xlfn.BASE(AJ45,2,4)&amp;","&amp;_xlfn.BASE(AK45,2,4)</f>
        <v>1110,1011,1101,1001</v>
      </c>
      <c r="AN45" s="366"/>
      <c r="AO45" s="366"/>
      <c r="AP45" s="251"/>
    </row>
    <row r="46" spans="2:51" x14ac:dyDescent="0.25">
      <c r="B46" s="380" t="s">
        <v>311</v>
      </c>
      <c r="C46" s="3"/>
      <c r="D46" s="139">
        <f ca="1">_xlfn.BITXOR(2*D44,_xlfn.BITXOR(4*D44,8*D44))</f>
        <v>1120</v>
      </c>
      <c r="E46" s="139">
        <f ca="1">_xlfn.BITXOR(E44,_xlfn.BITXOR(2*E44,8*E44))</f>
        <v>254</v>
      </c>
      <c r="F46" s="139">
        <f ca="1">_xlfn.BITXOR(F44,_xlfn.BITXOR(4*F44,8*F44))</f>
        <v>1716</v>
      </c>
      <c r="G46" s="139">
        <f ca="1">_xlfn.BITXOR(G44,8*G44)</f>
        <v>404</v>
      </c>
      <c r="H46" s="139" t="str">
        <f ca="1">LEN(_xlfn.BASE(D46,2,8))&amp;","&amp;LEN(_xlfn.BASE(E46,2,8))&amp;","&amp;LEN(_xlfn.BASE(F46,2,8))&amp;","&amp;LEN(_xlfn.BASE(G46,2,8))</f>
        <v>11,8,11,9</v>
      </c>
      <c r="I46" s="339" t="str">
        <f ca="1">_xlfn.BASE(D46,2,8)&amp;","&amp;_xlfn.BASE(E46,2,8)&amp;","&amp;_xlfn.BASE(F46,2,8)&amp;","&amp;_xlfn.BASE(G46,2,8)</f>
        <v>10001100000,11111110,11010110100,110010100</v>
      </c>
      <c r="J46" s="339"/>
      <c r="K46" s="339"/>
      <c r="L46" s="139"/>
      <c r="M46" s="3"/>
      <c r="N46" s="139">
        <f ca="1">_xlfn.BITXOR(2*N44,_xlfn.BITXOR(4*N44,8*N44))</f>
        <v>856</v>
      </c>
      <c r="O46" s="139">
        <f ca="1">_xlfn.BITXOR(O44,_xlfn.BITXOR(2*O44,8*O44))</f>
        <v>1328</v>
      </c>
      <c r="P46" s="139">
        <f ca="1">_xlfn.BITXOR(P44,_xlfn.BITXOR(4*P44,8*P44))</f>
        <v>1905</v>
      </c>
      <c r="Q46" s="139">
        <f ca="1">_xlfn.BITXOR(Q44,8*Q44)</f>
        <v>1328</v>
      </c>
      <c r="R46" s="139" t="str">
        <f t="shared" ref="R46:R52" ca="1" si="8">LEN(_xlfn.BASE(N46,2,8))&amp;","&amp;LEN(_xlfn.BASE(O46,2,8))&amp;","&amp;LEN(_xlfn.BASE(P46,2,8))&amp;","&amp;LEN(_xlfn.BASE(Q46,2,8))</f>
        <v>10,11,11,11</v>
      </c>
      <c r="S46" s="339" t="str">
        <f t="shared" ref="S46:S52" ca="1" si="9">_xlfn.BASE(N46,2,8)&amp;","&amp;_xlfn.BASE(O46,2,8)&amp;","&amp;_xlfn.BASE(P46,2,8)&amp;","&amp;_xlfn.BASE(Q46,2,8)</f>
        <v>1101011000,10100110000,11101110001,10100110000</v>
      </c>
      <c r="T46" s="339"/>
      <c r="U46" s="339"/>
      <c r="V46" s="139"/>
      <c r="W46" s="3"/>
      <c r="X46" s="139">
        <f ca="1">_xlfn.BITXOR(2*X44,_xlfn.BITXOR(4*X44,8*X44))</f>
        <v>856</v>
      </c>
      <c r="Y46" s="139">
        <f ca="1">_xlfn.BITXOR(Y44,_xlfn.BITXOR(2*Y44,8*Y44))</f>
        <v>1248</v>
      </c>
      <c r="Z46" s="139">
        <f ca="1">_xlfn.BITXOR(Z44,_xlfn.BITXOR(4*Z44,8*Z44))</f>
        <v>208</v>
      </c>
      <c r="AA46" s="139">
        <f ca="1">_xlfn.BITXOR(AA44,8*AA44)</f>
        <v>1782</v>
      </c>
      <c r="AB46" s="139" t="str">
        <f ca="1">LEN(_xlfn.BASE(X46,2,8))&amp;","&amp;LEN(_xlfn.BASE(Y46,2,8))&amp;","&amp;LEN(_xlfn.BASE(Z46,2,8))&amp;","&amp;LEN(_xlfn.BASE(AA46,2,8))</f>
        <v>10,11,8,11</v>
      </c>
      <c r="AC46" s="339" t="str">
        <f ca="1">_xlfn.BASE(X46,2,8)&amp;","&amp;_xlfn.BASE(Y46,2,8)&amp;","&amp;_xlfn.BASE(Z46,2,8)&amp;","&amp;_xlfn.BASE(AA46,2,8)</f>
        <v>1101011000,10011100000,11010000,11011110110</v>
      </c>
      <c r="AD46" s="339"/>
      <c r="AE46" s="339"/>
      <c r="AF46" s="28"/>
      <c r="AG46" s="3"/>
      <c r="AH46" s="139">
        <f ca="1">_xlfn.BITXOR(2*AH44,_xlfn.BITXOR(4*AH44,8*AH44))</f>
        <v>1630</v>
      </c>
      <c r="AI46" s="139">
        <f ca="1">_xlfn.BITXOR(AI44,_xlfn.BITXOR(2*AI44,8*AI44))</f>
        <v>44</v>
      </c>
      <c r="AJ46" s="139">
        <f ca="1">_xlfn.BITXOR(AJ44,_xlfn.BITXOR(4*AJ44,8*AJ44))</f>
        <v>1161</v>
      </c>
      <c r="AK46" s="139">
        <f ca="1">_xlfn.BITXOR(AK44,8*AK44)</f>
        <v>1876</v>
      </c>
      <c r="AL46" s="139" t="str">
        <f ca="1">LEN(_xlfn.BASE(AH46,2,8))&amp;","&amp;LEN(_xlfn.BASE(AI46,2,8))&amp;","&amp;LEN(_xlfn.BASE(AJ46,2,8))&amp;","&amp;LEN(_xlfn.BASE(AK46,2,8))</f>
        <v>11,8,11,11</v>
      </c>
      <c r="AM46" s="372" t="str">
        <f ca="1">_xlfn.BASE(AH46,2,8)&amp;","&amp;_xlfn.BASE(AI46,2,8)&amp;","&amp;_xlfn.BASE(AJ46,2,8)&amp;","&amp;_xlfn.BASE(AK46,2,8)</f>
        <v>11001011110,00101100,10010001001,11101010100</v>
      </c>
      <c r="AN46" s="372"/>
      <c r="AO46" s="372"/>
      <c r="AP46" s="252"/>
    </row>
    <row r="47" spans="2:51" x14ac:dyDescent="0.25">
      <c r="B47" s="380"/>
      <c r="C47" s="145" t="s">
        <v>72</v>
      </c>
      <c r="D47" s="145">
        <f ca="1">IF(LEN(_xlfn.BASE(D46,2,8))-9&lt;0,D46,IF(LEN(_xlfn.BASE(D46,2,8))-9=0,283,IF(LEN(_xlfn.BASE(D46,2,8))-9=1,566,IF(LEN(_xlfn.BASE(D46,2,8))-9=2,1132,IF(LEN(_xlfn.BASE(D46,2,8))-9=3,2264)))))</f>
        <v>1132</v>
      </c>
      <c r="E47" s="145">
        <f t="shared" ref="E47:G47" ca="1" si="10">IF(LEN(_xlfn.BASE(E46,2,8))-9&lt;0,E46,IF(LEN(_xlfn.BASE(E46,2,8))-9=0,283,IF(LEN(_xlfn.BASE(E46,2,8))-9=1,566,IF(LEN(_xlfn.BASE(E46,2,8))-9=2,1132,IF(LEN(_xlfn.BASE(E46,2,8))-9=3,2264)))))</f>
        <v>254</v>
      </c>
      <c r="F47" s="145">
        <f t="shared" ca="1" si="10"/>
        <v>1132</v>
      </c>
      <c r="G47" s="145">
        <f t="shared" ca="1" si="10"/>
        <v>283</v>
      </c>
      <c r="H47" s="145" t="str">
        <f t="shared" ref="H47:H52" ca="1" si="11">LEN(_xlfn.BASE(D47,2,8))&amp;","&amp;LEN(_xlfn.BASE(E47,2,8))&amp;","&amp;LEN(_xlfn.BASE(F47,2,8))&amp;","&amp;LEN(_xlfn.BASE(G47,2,8))</f>
        <v>11,8,11,9</v>
      </c>
      <c r="I47" s="366" t="str">
        <f t="shared" ref="I47:I52" ca="1" si="12">_xlfn.BASE(D47,2,8)&amp;","&amp;_xlfn.BASE(E47,2,8)&amp;","&amp;_xlfn.BASE(F47,2,8)&amp;","&amp;_xlfn.BASE(G47,2,8)</f>
        <v>10001101100,11111110,10001101100,100011011</v>
      </c>
      <c r="J47" s="366"/>
      <c r="K47" s="366"/>
      <c r="L47" s="139"/>
      <c r="M47" s="139" t="s">
        <v>72</v>
      </c>
      <c r="N47" s="145">
        <f ca="1">IF(LEN(_xlfn.BASE(N46,2,8))-9&lt;0,N46,IF(LEN(_xlfn.BASE(N46,2,8))-9=0,283,IF(LEN(_xlfn.BASE(N46,2,8))-9=1,566,IF(LEN(_xlfn.BASE(N46,2,8))-9=2,1132,IF(LEN(_xlfn.BASE(N46,2,8))-9=3,2264)))))</f>
        <v>566</v>
      </c>
      <c r="O47" s="145">
        <f t="shared" ref="O47:Q47" ca="1" si="13">IF(LEN(_xlfn.BASE(O46,2,8))-9&lt;0,O46,IF(LEN(_xlfn.BASE(O46,2,8))-9=0,283,IF(LEN(_xlfn.BASE(O46,2,8))-9=1,566,IF(LEN(_xlfn.BASE(O46,2,8))-9=2,1132,IF(LEN(_xlfn.BASE(O46,2,8))-9=3,2264)))))</f>
        <v>1132</v>
      </c>
      <c r="P47" s="145">
        <f t="shared" ca="1" si="13"/>
        <v>1132</v>
      </c>
      <c r="Q47" s="145">
        <f t="shared" ca="1" si="13"/>
        <v>1132</v>
      </c>
      <c r="R47" s="145" t="str">
        <f t="shared" ca="1" si="8"/>
        <v>10,11,11,11</v>
      </c>
      <c r="S47" s="366" t="str">
        <f t="shared" ca="1" si="9"/>
        <v>1000110110,10001101100,10001101100,10001101100</v>
      </c>
      <c r="T47" s="366"/>
      <c r="U47" s="366"/>
      <c r="V47" s="139"/>
      <c r="W47" s="139" t="s">
        <v>72</v>
      </c>
      <c r="X47" s="145">
        <f ca="1">IF(LEN(_xlfn.BASE(X46,2,8))-9&lt;0,X46,IF(LEN(_xlfn.BASE(X46,2,8))-9=0,283,IF(LEN(_xlfn.BASE(X46,2,8))-9=1,566,IF(LEN(_xlfn.BASE(X46,2,8))-9=2,1132,IF(LEN(_xlfn.BASE(X46,2,8))-9=3,2264)))))</f>
        <v>566</v>
      </c>
      <c r="Y47" s="145">
        <f t="shared" ref="Y47:AA47" ca="1" si="14">IF(LEN(_xlfn.BASE(Y46,2,8))-9&lt;0,Y46,IF(LEN(_xlfn.BASE(Y46,2,8))-9=0,283,IF(LEN(_xlfn.BASE(Y46,2,8))-9=1,566,IF(LEN(_xlfn.BASE(Y46,2,8))-9=2,1132,IF(LEN(_xlfn.BASE(Y46,2,8))-9=3,2264)))))</f>
        <v>1132</v>
      </c>
      <c r="Z47" s="145">
        <f t="shared" ca="1" si="14"/>
        <v>208</v>
      </c>
      <c r="AA47" s="145">
        <f t="shared" ca="1" si="14"/>
        <v>1132</v>
      </c>
      <c r="AB47" s="145" t="str">
        <f t="shared" ref="AB47" ca="1" si="15">LEN(_xlfn.BASE(X47,2,8))&amp;","&amp;LEN(_xlfn.BASE(Y47,2,8))&amp;","&amp;LEN(_xlfn.BASE(Z47,2,8))&amp;","&amp;LEN(_xlfn.BASE(AA47,2,8))</f>
        <v>10,11,8,11</v>
      </c>
      <c r="AC47" s="366" t="str">
        <f t="shared" ref="AC47:AC52" ca="1" si="16">_xlfn.BASE(X47,2,8)&amp;","&amp;_xlfn.BASE(Y47,2,8)&amp;","&amp;_xlfn.BASE(Z47,2,8)&amp;","&amp;_xlfn.BASE(AA47,2,8)</f>
        <v>1000110110,10001101100,11010000,10001101100</v>
      </c>
      <c r="AD47" s="366"/>
      <c r="AE47" s="366"/>
      <c r="AF47" s="28"/>
      <c r="AG47" s="139" t="s">
        <v>72</v>
      </c>
      <c r="AH47" s="145">
        <f ca="1">IF(LEN(_xlfn.BASE(AH46,2,8))-9&lt;0,AH46,IF(LEN(_xlfn.BASE(AH46,2,8))-9=0,283,IF(LEN(_xlfn.BASE(AH46,2,8))-9=1,566,IF(LEN(_xlfn.BASE(AH46,2,8))-9=2,1132,IF(LEN(_xlfn.BASE(AH46,2,8))-9=3,2264)))))</f>
        <v>1132</v>
      </c>
      <c r="AI47" s="145">
        <f t="shared" ref="AI47:AK47" ca="1" si="17">IF(LEN(_xlfn.BASE(AI46,2,8))-9&lt;0,AI46,IF(LEN(_xlfn.BASE(AI46,2,8))-9=0,283,IF(LEN(_xlfn.BASE(AI46,2,8))-9=1,566,IF(LEN(_xlfn.BASE(AI46,2,8))-9=2,1132,IF(LEN(_xlfn.BASE(AI46,2,8))-9=3,2264)))))</f>
        <v>44</v>
      </c>
      <c r="AJ47" s="145">
        <f t="shared" ca="1" si="17"/>
        <v>1132</v>
      </c>
      <c r="AK47" s="145">
        <f t="shared" ca="1" si="17"/>
        <v>1132</v>
      </c>
      <c r="AL47" s="145" t="str">
        <f t="shared" ref="AL47" ca="1" si="18">LEN(_xlfn.BASE(AH47,2,8))&amp;","&amp;LEN(_xlfn.BASE(AI47,2,8))&amp;","&amp;LEN(_xlfn.BASE(AJ47,2,8))&amp;","&amp;LEN(_xlfn.BASE(AK47,2,8))</f>
        <v>11,8,11,11</v>
      </c>
      <c r="AM47" s="366" t="str">
        <f t="shared" ref="AM47:AM52" ca="1" si="19">_xlfn.BASE(AH47,2,8)&amp;","&amp;_xlfn.BASE(AI47,2,8)&amp;","&amp;_xlfn.BASE(AJ47,2,8)&amp;","&amp;_xlfn.BASE(AK47,2,8)</f>
        <v>10001101100,00101100,10001101100,10001101100</v>
      </c>
      <c r="AN47" s="366"/>
      <c r="AO47" s="366"/>
      <c r="AP47" s="252"/>
      <c r="AR47" s="361"/>
      <c r="AS47" s="361"/>
      <c r="AW47" s="361"/>
      <c r="AX47" s="361"/>
    </row>
    <row r="48" spans="2:51" x14ac:dyDescent="0.25">
      <c r="B48" s="380"/>
      <c r="C48" s="139"/>
      <c r="D48" s="139">
        <f ca="1">IF(_xlfn.BITXOR(D46,D47)=0,D46,_xlfn.BITXOR(D46,D47))</f>
        <v>12</v>
      </c>
      <c r="E48" s="139">
        <f ca="1">IF(_xlfn.BITXOR(E46,E47)=0,E46,_xlfn.BITXOR(E46,E47))</f>
        <v>254</v>
      </c>
      <c r="F48" s="139">
        <f ca="1">IF(_xlfn.BITXOR(F46,F47)=0,F46,_xlfn.BITXOR(F46,F47))</f>
        <v>728</v>
      </c>
      <c r="G48" s="139">
        <f ca="1">IF(_xlfn.BITXOR(G46,G47)=0,G46,_xlfn.BITXOR(G46,G47))</f>
        <v>143</v>
      </c>
      <c r="H48" s="139" t="str">
        <f ca="1">LEN(_xlfn.BASE(D48,2,8))&amp;","&amp;LEN(_xlfn.BASE(E48,2,8))&amp;","&amp;LEN(_xlfn.BASE(F48,2,8))&amp;","&amp;LEN(_xlfn.BASE(G48,2,8))</f>
        <v>8,8,10,8</v>
      </c>
      <c r="I48" s="339" t="str">
        <f t="shared" ca="1" si="12"/>
        <v>00001100,11111110,1011011000,10001111</v>
      </c>
      <c r="J48" s="339"/>
      <c r="K48" s="339"/>
      <c r="L48" s="139"/>
      <c r="M48" s="3"/>
      <c r="N48" s="139">
        <f ca="1">IF(_xlfn.BITXOR(N46,N47)=0,N46,_xlfn.BITXOR(N46,N47))</f>
        <v>366</v>
      </c>
      <c r="O48" s="139">
        <f ca="1">IF(_xlfn.BITXOR(O46,O47)=0,O46,_xlfn.BITXOR(O46,O47))</f>
        <v>348</v>
      </c>
      <c r="P48" s="139">
        <f ca="1">IF(_xlfn.BITXOR(P46,P47)=0,P46,_xlfn.BITXOR(P46,P47))</f>
        <v>797</v>
      </c>
      <c r="Q48" s="139">
        <f ca="1">IF(_xlfn.BITXOR(Q46,Q47)=0,Q46,_xlfn.BITXOR(Q46,Q47))</f>
        <v>348</v>
      </c>
      <c r="R48" s="139" t="str">
        <f t="shared" ca="1" si="8"/>
        <v>9,9,10,9</v>
      </c>
      <c r="S48" s="339" t="str">
        <f t="shared" ca="1" si="9"/>
        <v>101101110,101011100,1100011101,101011100</v>
      </c>
      <c r="T48" s="339"/>
      <c r="U48" s="339"/>
      <c r="V48" s="139"/>
      <c r="W48" s="3"/>
      <c r="X48" s="139">
        <f ca="1">IF(_xlfn.BITXOR(X46,X47)=0,X46,_xlfn.BITXOR(X46,X47))</f>
        <v>366</v>
      </c>
      <c r="Y48" s="139">
        <f ca="1">IF(_xlfn.BITXOR(Y46,Y47)=0,Y46,_xlfn.BITXOR(Y46,Y47))</f>
        <v>140</v>
      </c>
      <c r="Z48" s="139">
        <f ca="1">IF(_xlfn.BITXOR(Z46,Z47)=0,Z46,_xlfn.BITXOR(Z46,Z47))</f>
        <v>208</v>
      </c>
      <c r="AA48" s="139">
        <f ca="1">IF(_xlfn.BITXOR(AA46,AA47)=0,AA46,_xlfn.BITXOR(AA46,AA47))</f>
        <v>666</v>
      </c>
      <c r="AB48" s="139" t="str">
        <f ca="1">LEN(_xlfn.BASE(X48,2,8))&amp;","&amp;LEN(_xlfn.BASE(Y48,2,8))&amp;","&amp;LEN(_xlfn.BASE(Z48,2,8))&amp;","&amp;LEN(_xlfn.BASE(AA48,2,8))</f>
        <v>9,8,8,10</v>
      </c>
      <c r="AC48" s="339" t="str">
        <f t="shared" ca="1" si="16"/>
        <v>101101110,10001100,11010000,1010011010</v>
      </c>
      <c r="AD48" s="339"/>
      <c r="AE48" s="339"/>
      <c r="AF48" s="28"/>
      <c r="AG48" s="3"/>
      <c r="AH48" s="139">
        <f ca="1">IF(_xlfn.BITXOR(AH46,AH47)=0,AH46,_xlfn.BITXOR(AH46,AH47))</f>
        <v>562</v>
      </c>
      <c r="AI48" s="139">
        <f ca="1">IF(_xlfn.BITXOR(AI46,AI47)=0,AI46,_xlfn.BITXOR(AI46,AI47))</f>
        <v>44</v>
      </c>
      <c r="AJ48" s="139">
        <f ca="1">IF(_xlfn.BITXOR(AJ46,AJ47)=0,AJ46,_xlfn.BITXOR(AJ46,AJ47))</f>
        <v>229</v>
      </c>
      <c r="AK48" s="139">
        <f ca="1">IF(_xlfn.BITXOR(AK46,AK47)=0,AK46,_xlfn.BITXOR(AK46,AK47))</f>
        <v>824</v>
      </c>
      <c r="AL48" s="139" t="str">
        <f ca="1">LEN(_xlfn.BASE(AH48,2,8))&amp;","&amp;LEN(_xlfn.BASE(AI48,2,8))&amp;","&amp;LEN(_xlfn.BASE(AJ48,2,8))&amp;","&amp;LEN(_xlfn.BASE(AK48,2,8))</f>
        <v>10,8,8,10</v>
      </c>
      <c r="AM48" s="339" t="str">
        <f t="shared" ca="1" si="19"/>
        <v>1000110010,00101100,11100101,1100111000</v>
      </c>
      <c r="AN48" s="339"/>
      <c r="AO48" s="339"/>
      <c r="AP48" s="252"/>
    </row>
    <row r="49" spans="2:51" x14ac:dyDescent="0.25">
      <c r="B49" s="380"/>
      <c r="C49" s="145" t="s">
        <v>72</v>
      </c>
      <c r="D49" s="145">
        <f ca="1">IF(LEN(_xlfn.BASE(D48,2,8))-9&lt;0,D48,IF(LEN(_xlfn.BASE(D48,2,8))-9=0,283,IF(LEN(_xlfn.BASE(D48,2,8))-9=1,566,IF(LEN(_xlfn.BASE(D48,2,8))-9=2,1132,IF(LEN(_xlfn.BASE(D48,2,8))-9=3,2264)))))</f>
        <v>12</v>
      </c>
      <c r="E49" s="145">
        <f t="shared" ref="E49:G49" ca="1" si="20">IF(LEN(_xlfn.BASE(E48,2,8))-9&lt;0,E48,IF(LEN(_xlfn.BASE(E48,2,8))-9=0,283,IF(LEN(_xlfn.BASE(E48,2,8))-9=1,566,IF(LEN(_xlfn.BASE(E48,2,8))-9=2,1132,IF(LEN(_xlfn.BASE(E48,2,8))-9=3,2264)))))</f>
        <v>254</v>
      </c>
      <c r="F49" s="145">
        <f t="shared" ca="1" si="20"/>
        <v>566</v>
      </c>
      <c r="G49" s="145">
        <f t="shared" ca="1" si="20"/>
        <v>143</v>
      </c>
      <c r="H49" s="145" t="str">
        <f t="shared" ca="1" si="11"/>
        <v>8,8,10,8</v>
      </c>
      <c r="I49" s="366" t="str">
        <f t="shared" ca="1" si="12"/>
        <v>00001100,11111110,1000110110,10001111</v>
      </c>
      <c r="J49" s="366"/>
      <c r="K49" s="366"/>
      <c r="L49" s="139"/>
      <c r="M49" s="139" t="s">
        <v>72</v>
      </c>
      <c r="N49" s="145">
        <f ca="1">IF(LEN(_xlfn.BASE(N48,2,8))-9&lt;0,N48,IF(LEN(_xlfn.BASE(N48,2,8))-9=0,283,IF(LEN(_xlfn.BASE(N48,2,8))-9=1,566,IF(LEN(_xlfn.BASE(N48,2,8))-9=2,1132,IF(LEN(_xlfn.BASE(N48,2,8))-9=3,2264)))))</f>
        <v>283</v>
      </c>
      <c r="O49" s="145">
        <f t="shared" ref="O49:Q49" ca="1" si="21">IF(LEN(_xlfn.BASE(O48,2,8))-9&lt;0,O48,IF(LEN(_xlfn.BASE(O48,2,8))-9=0,283,IF(LEN(_xlfn.BASE(O48,2,8))-9=1,566,IF(LEN(_xlfn.BASE(O48,2,8))-9=2,1132,IF(LEN(_xlfn.BASE(O48,2,8))-9=3,2264)))))</f>
        <v>283</v>
      </c>
      <c r="P49" s="145">
        <f t="shared" ca="1" si="21"/>
        <v>566</v>
      </c>
      <c r="Q49" s="145">
        <f t="shared" ca="1" si="21"/>
        <v>283</v>
      </c>
      <c r="R49" s="145" t="str">
        <f t="shared" ca="1" si="8"/>
        <v>9,9,10,9</v>
      </c>
      <c r="S49" s="366" t="str">
        <f t="shared" ca="1" si="9"/>
        <v>100011011,100011011,1000110110,100011011</v>
      </c>
      <c r="T49" s="366"/>
      <c r="U49" s="366"/>
      <c r="V49" s="139"/>
      <c r="W49" s="139" t="s">
        <v>72</v>
      </c>
      <c r="X49" s="145">
        <f ca="1">IF(LEN(_xlfn.BASE(X48,2,8))-9&lt;0,X48,IF(LEN(_xlfn.BASE(X48,2,8))-9=0,283,IF(LEN(_xlfn.BASE(X48,2,8))-9=1,566,IF(LEN(_xlfn.BASE(X48,2,8))-9=2,1132,IF(LEN(_xlfn.BASE(X48,2,8))-9=3,2264)))))</f>
        <v>283</v>
      </c>
      <c r="Y49" s="145">
        <f t="shared" ref="Y49:AA49" ca="1" si="22">IF(LEN(_xlfn.BASE(Y48,2,8))-9&lt;0,Y48,IF(LEN(_xlfn.BASE(Y48,2,8))-9=0,283,IF(LEN(_xlfn.BASE(Y48,2,8))-9=1,566,IF(LEN(_xlfn.BASE(Y48,2,8))-9=2,1132,IF(LEN(_xlfn.BASE(Y48,2,8))-9=3,2264)))))</f>
        <v>140</v>
      </c>
      <c r="Z49" s="145">
        <f t="shared" ca="1" si="22"/>
        <v>208</v>
      </c>
      <c r="AA49" s="145">
        <f t="shared" ca="1" si="22"/>
        <v>566</v>
      </c>
      <c r="AB49" s="145" t="str">
        <f t="shared" ref="AB49:AB52" ca="1" si="23">LEN(_xlfn.BASE(X49,2,8))&amp;","&amp;LEN(_xlfn.BASE(Y49,2,8))&amp;","&amp;LEN(_xlfn.BASE(Z49,2,8))&amp;","&amp;LEN(_xlfn.BASE(AA49,2,8))</f>
        <v>9,8,8,10</v>
      </c>
      <c r="AC49" s="366" t="str">
        <f t="shared" ca="1" si="16"/>
        <v>100011011,10001100,11010000,1000110110</v>
      </c>
      <c r="AD49" s="366"/>
      <c r="AE49" s="366"/>
      <c r="AF49" s="3"/>
      <c r="AG49" s="139" t="s">
        <v>72</v>
      </c>
      <c r="AH49" s="145">
        <f ca="1">IF(LEN(_xlfn.BASE(AH48,2,8))-9&lt;0,AH48,IF(LEN(_xlfn.BASE(AH48,2,8))-9=0,283,IF(LEN(_xlfn.BASE(AH48,2,8))-9=1,566,IF(LEN(_xlfn.BASE(AH48,2,8))-9=2,1132,IF(LEN(_xlfn.BASE(AH48,2,8))-9=3,2264)))))</f>
        <v>566</v>
      </c>
      <c r="AI49" s="145">
        <f t="shared" ref="AI49:AK49" ca="1" si="24">IF(LEN(_xlfn.BASE(AI48,2,8))-9&lt;0,AI48,IF(LEN(_xlfn.BASE(AI48,2,8))-9=0,283,IF(LEN(_xlfn.BASE(AI48,2,8))-9=1,566,IF(LEN(_xlfn.BASE(AI48,2,8))-9=2,1132,IF(LEN(_xlfn.BASE(AI48,2,8))-9=3,2264)))))</f>
        <v>44</v>
      </c>
      <c r="AJ49" s="145">
        <f t="shared" ca="1" si="24"/>
        <v>229</v>
      </c>
      <c r="AK49" s="145">
        <f t="shared" ca="1" si="24"/>
        <v>566</v>
      </c>
      <c r="AL49" s="145" t="str">
        <f t="shared" ref="AL49:AL52" ca="1" si="25">LEN(_xlfn.BASE(AH49,2,8))&amp;","&amp;LEN(_xlfn.BASE(AI49,2,8))&amp;","&amp;LEN(_xlfn.BASE(AJ49,2,8))&amp;","&amp;LEN(_xlfn.BASE(AK49,2,8))</f>
        <v>10,8,8,10</v>
      </c>
      <c r="AM49" s="366" t="str">
        <f t="shared" ca="1" si="19"/>
        <v>1000110110,00101100,11100101,1000110110</v>
      </c>
      <c r="AN49" s="366"/>
      <c r="AO49" s="366"/>
      <c r="AP49" s="251"/>
    </row>
    <row r="50" spans="2:51" x14ac:dyDescent="0.25">
      <c r="B50" s="380"/>
      <c r="C50" s="139"/>
      <c r="D50" s="139">
        <f ca="1">IF(_xlfn.BITXOR(D48,D49)=0,D49,_xlfn.BITXOR(D48,D49))</f>
        <v>12</v>
      </c>
      <c r="E50" s="139">
        <f t="shared" ref="E50:G50" ca="1" si="26">IF(_xlfn.BITXOR(E48,E49)=0,E49,_xlfn.BITXOR(E48,E49))</f>
        <v>254</v>
      </c>
      <c r="F50" s="139">
        <f t="shared" ca="1" si="26"/>
        <v>238</v>
      </c>
      <c r="G50" s="139">
        <f t="shared" ca="1" si="26"/>
        <v>143</v>
      </c>
      <c r="H50" s="139" t="str">
        <f t="shared" ca="1" si="11"/>
        <v>8,8,8,8</v>
      </c>
      <c r="I50" s="339" t="str">
        <f t="shared" ca="1" si="12"/>
        <v>00001100,11111110,11101110,10001111</v>
      </c>
      <c r="J50" s="339"/>
      <c r="K50" s="339"/>
      <c r="L50" s="139"/>
      <c r="M50" s="3"/>
      <c r="N50" s="139">
        <f ca="1">IF(_xlfn.BITXOR(N48,N49)=0,N49,_xlfn.BITXOR(N48,N49))</f>
        <v>117</v>
      </c>
      <c r="O50" s="139">
        <f t="shared" ref="O50:Q50" ca="1" si="27">IF(_xlfn.BITXOR(O48,O49)=0,O49,_xlfn.BITXOR(O48,O49))</f>
        <v>71</v>
      </c>
      <c r="P50" s="139">
        <f t="shared" ca="1" si="27"/>
        <v>299</v>
      </c>
      <c r="Q50" s="139">
        <f t="shared" ca="1" si="27"/>
        <v>71</v>
      </c>
      <c r="R50" s="139" t="str">
        <f t="shared" ca="1" si="8"/>
        <v>8,8,9,8</v>
      </c>
      <c r="S50" s="339" t="str">
        <f t="shared" ca="1" si="9"/>
        <v>01110101,01000111,100101011,01000111</v>
      </c>
      <c r="T50" s="339"/>
      <c r="U50" s="339"/>
      <c r="V50" s="139"/>
      <c r="W50" s="3"/>
      <c r="X50" s="139">
        <f ca="1">IF(_xlfn.BITXOR(X48,X49)=0,X49,_xlfn.BITXOR(X48,X49))</f>
        <v>117</v>
      </c>
      <c r="Y50" s="139">
        <f t="shared" ref="Y50:AA50" ca="1" si="28">IF(_xlfn.BITXOR(Y48,Y49)=0,Y49,_xlfn.BITXOR(Y48,Y49))</f>
        <v>140</v>
      </c>
      <c r="Z50" s="139">
        <f t="shared" ca="1" si="28"/>
        <v>208</v>
      </c>
      <c r="AA50" s="139">
        <f t="shared" ca="1" si="28"/>
        <v>172</v>
      </c>
      <c r="AB50" s="139" t="str">
        <f t="shared" ca="1" si="23"/>
        <v>8,8,8,8</v>
      </c>
      <c r="AC50" s="339" t="str">
        <f t="shared" ca="1" si="16"/>
        <v>01110101,10001100,11010000,10101100</v>
      </c>
      <c r="AD50" s="339"/>
      <c r="AE50" s="339"/>
      <c r="AF50" s="139"/>
      <c r="AG50" s="3"/>
      <c r="AH50" s="139">
        <f ca="1">IF(_xlfn.BITXOR(AH48,AH49)=0,AH49,_xlfn.BITXOR(AH48,AH49))</f>
        <v>4</v>
      </c>
      <c r="AI50" s="139">
        <f t="shared" ref="AI50:AK50" ca="1" si="29">IF(_xlfn.BITXOR(AI48,AI49)=0,AI49,_xlfn.BITXOR(AI48,AI49))</f>
        <v>44</v>
      </c>
      <c r="AJ50" s="139">
        <f t="shared" ca="1" si="29"/>
        <v>229</v>
      </c>
      <c r="AK50" s="139">
        <f t="shared" ca="1" si="29"/>
        <v>270</v>
      </c>
      <c r="AL50" s="139" t="str">
        <f t="shared" ca="1" si="25"/>
        <v>8,8,8,9</v>
      </c>
      <c r="AM50" s="339" t="str">
        <f t="shared" ca="1" si="19"/>
        <v>00000100,00101100,11100101,100001110</v>
      </c>
      <c r="AN50" s="339"/>
      <c r="AO50" s="339"/>
      <c r="AP50" s="251"/>
    </row>
    <row r="51" spans="2:51" x14ac:dyDescent="0.25">
      <c r="B51" s="380"/>
      <c r="C51" s="93" t="s">
        <v>72</v>
      </c>
      <c r="D51" s="145">
        <f ca="1">IF(LEN(_xlfn.BASE(D50,2,8))-9&lt;0,D50,IF(LEN(_xlfn.BASE(D50,2,8))-9=0,283,IF(LEN(_xlfn.BASE(D50,2,8))-9=1,566,IF(LEN(_xlfn.BASE(D50,2,8))-9=2,1132,IF(LEN(_xlfn.BASE(D50,2,8))-9=3,2264)))))</f>
        <v>12</v>
      </c>
      <c r="E51" s="145">
        <f t="shared" ref="E51:G51" ca="1" si="30">IF(LEN(_xlfn.BASE(E50,2,8))-9&lt;0,E50,IF(LEN(_xlfn.BASE(E50,2,8))-9=0,283,IF(LEN(_xlfn.BASE(E50,2,8))-9=1,566,IF(LEN(_xlfn.BASE(E50,2,8))-9=2,1132,IF(LEN(_xlfn.BASE(E50,2,8))-9=3,2264)))))</f>
        <v>254</v>
      </c>
      <c r="F51" s="145">
        <f t="shared" ca="1" si="30"/>
        <v>238</v>
      </c>
      <c r="G51" s="145">
        <f t="shared" ca="1" si="30"/>
        <v>143</v>
      </c>
      <c r="H51" s="93" t="str">
        <f t="shared" ca="1" si="11"/>
        <v>8,8,8,8</v>
      </c>
      <c r="I51" s="366" t="str">
        <f t="shared" ca="1" si="12"/>
        <v>00001100,11111110,11101110,10001111</v>
      </c>
      <c r="J51" s="366"/>
      <c r="K51" s="366"/>
      <c r="L51" s="139"/>
      <c r="M51" s="139" t="s">
        <v>72</v>
      </c>
      <c r="N51" s="145">
        <f ca="1">IF(LEN(_xlfn.BASE(N50,2,8))-9&lt;0,N50,IF(LEN(_xlfn.BASE(N50,2,8))-9=0,283,IF(LEN(_xlfn.BASE(N50,2,8))-9=1,566,IF(LEN(_xlfn.BASE(N50,2,8))-9=2,1132,IF(LEN(_xlfn.BASE(N50,2,8))-9=3,2264)))))</f>
        <v>117</v>
      </c>
      <c r="O51" s="145">
        <f t="shared" ref="O51:Q51" ca="1" si="31">IF(LEN(_xlfn.BASE(O50,2,8))-9&lt;0,O50,IF(LEN(_xlfn.BASE(O50,2,8))-9=0,283,IF(LEN(_xlfn.BASE(O50,2,8))-9=1,566,IF(LEN(_xlfn.BASE(O50,2,8))-9=2,1132,IF(LEN(_xlfn.BASE(O50,2,8))-9=3,2264)))))</f>
        <v>71</v>
      </c>
      <c r="P51" s="145">
        <f t="shared" ca="1" si="31"/>
        <v>283</v>
      </c>
      <c r="Q51" s="145">
        <f t="shared" ca="1" si="31"/>
        <v>71</v>
      </c>
      <c r="R51" s="145" t="str">
        <f t="shared" ca="1" si="8"/>
        <v>8,8,9,8</v>
      </c>
      <c r="S51" s="366" t="str">
        <f t="shared" ca="1" si="9"/>
        <v>01110101,01000111,100011011,01000111</v>
      </c>
      <c r="T51" s="366"/>
      <c r="U51" s="366"/>
      <c r="V51" s="139"/>
      <c r="W51" s="139" t="s">
        <v>72</v>
      </c>
      <c r="X51" s="145">
        <f ca="1">IF(LEN(_xlfn.BASE(X50,2,8))-9&lt;0,X50,IF(LEN(_xlfn.BASE(X50,2,8))-9=0,283,IF(LEN(_xlfn.BASE(X50,2,8))-9=1,566,IF(LEN(_xlfn.BASE(X50,2,8))-9=2,1132,IF(LEN(_xlfn.BASE(X50,2,8))-9=3,2264)))))</f>
        <v>117</v>
      </c>
      <c r="Y51" s="145">
        <f t="shared" ref="Y51:AA51" ca="1" si="32">IF(LEN(_xlfn.BASE(Y50,2,8))-9&lt;0,Y50,IF(LEN(_xlfn.BASE(Y50,2,8))-9=0,283,IF(LEN(_xlfn.BASE(Y50,2,8))-9=1,566,IF(LEN(_xlfn.BASE(Y50,2,8))-9=2,1132,IF(LEN(_xlfn.BASE(Y50,2,8))-9=3,2264)))))</f>
        <v>140</v>
      </c>
      <c r="Z51" s="145">
        <f t="shared" ca="1" si="32"/>
        <v>208</v>
      </c>
      <c r="AA51" s="145">
        <f t="shared" ca="1" si="32"/>
        <v>172</v>
      </c>
      <c r="AB51" s="145" t="str">
        <f t="shared" ca="1" si="23"/>
        <v>8,8,8,8</v>
      </c>
      <c r="AC51" s="366" t="str">
        <f t="shared" ca="1" si="16"/>
        <v>01110101,10001100,11010000,10101100</v>
      </c>
      <c r="AD51" s="366"/>
      <c r="AE51" s="366"/>
      <c r="AF51" s="3"/>
      <c r="AG51" s="139" t="s">
        <v>72</v>
      </c>
      <c r="AH51" s="145">
        <f ca="1">IF(LEN(_xlfn.BASE(AH50,2,8))-9&lt;0,AH50,IF(LEN(_xlfn.BASE(AH50,2,8))-9=0,283,IF(LEN(_xlfn.BASE(AH50,2,8))-9=1,566,IF(LEN(_xlfn.BASE(AH50,2,8))-9=2,1132,IF(LEN(_xlfn.BASE(AH50,2,8))-9=3,2264)))))</f>
        <v>4</v>
      </c>
      <c r="AI51" s="145">
        <f t="shared" ref="AI51:AK51" ca="1" si="33">IF(LEN(_xlfn.BASE(AI50,2,8))-9&lt;0,AI50,IF(LEN(_xlfn.BASE(AI50,2,8))-9=0,283,IF(LEN(_xlfn.BASE(AI50,2,8))-9=1,566,IF(LEN(_xlfn.BASE(AI50,2,8))-9=2,1132,IF(LEN(_xlfn.BASE(AI50,2,8))-9=3,2264)))))</f>
        <v>44</v>
      </c>
      <c r="AJ51" s="145">
        <f t="shared" ca="1" si="33"/>
        <v>229</v>
      </c>
      <c r="AK51" s="145">
        <f t="shared" ca="1" si="33"/>
        <v>283</v>
      </c>
      <c r="AL51" s="145" t="str">
        <f t="shared" ca="1" si="25"/>
        <v>8,8,8,9</v>
      </c>
      <c r="AM51" s="366" t="str">
        <f t="shared" ca="1" si="19"/>
        <v>00000100,00101100,11100101,100011011</v>
      </c>
      <c r="AN51" s="366"/>
      <c r="AO51" s="366"/>
      <c r="AP51" s="251"/>
    </row>
    <row r="52" spans="2:51" x14ac:dyDescent="0.25">
      <c r="B52" s="380"/>
      <c r="C52" s="3"/>
      <c r="D52" s="139">
        <f ca="1">IF(_xlfn.BITXOR(D50,D51)=0,D51,_xlfn.BITXOR(D50,D51))</f>
        <v>12</v>
      </c>
      <c r="E52" s="139">
        <f t="shared" ref="E52:G52" ca="1" si="34">IF(_xlfn.BITXOR(E50,E51)=0,E51,_xlfn.BITXOR(E50,E51))</f>
        <v>254</v>
      </c>
      <c r="F52" s="139">
        <f t="shared" ca="1" si="34"/>
        <v>238</v>
      </c>
      <c r="G52" s="139">
        <f t="shared" ca="1" si="34"/>
        <v>143</v>
      </c>
      <c r="H52" s="139" t="str">
        <f t="shared" ca="1" si="11"/>
        <v>8,8,8,8</v>
      </c>
      <c r="I52" s="339" t="str">
        <f t="shared" ca="1" si="12"/>
        <v>00001100,11111110,11101110,10001111</v>
      </c>
      <c r="J52" s="339"/>
      <c r="K52" s="339"/>
      <c r="L52" s="139"/>
      <c r="M52" s="3"/>
      <c r="N52" s="139">
        <f ca="1">IF(_xlfn.BITXOR(N50,N51)=0,N51,_xlfn.BITXOR(N50,N51))</f>
        <v>117</v>
      </c>
      <c r="O52" s="139">
        <f t="shared" ref="O52:Q52" ca="1" si="35">IF(_xlfn.BITXOR(O50,O51)=0,O51,_xlfn.BITXOR(O50,O51))</f>
        <v>71</v>
      </c>
      <c r="P52" s="139">
        <f t="shared" ca="1" si="35"/>
        <v>48</v>
      </c>
      <c r="Q52" s="139">
        <f t="shared" ca="1" si="35"/>
        <v>71</v>
      </c>
      <c r="R52" s="139" t="str">
        <f t="shared" ca="1" si="8"/>
        <v>8,8,8,8</v>
      </c>
      <c r="S52" s="339" t="str">
        <f t="shared" ca="1" si="9"/>
        <v>01110101,01000111,00110000,01000111</v>
      </c>
      <c r="T52" s="339"/>
      <c r="U52" s="339"/>
      <c r="V52" s="139"/>
      <c r="W52" s="3"/>
      <c r="X52" s="139">
        <f ca="1">IF(_xlfn.BITXOR(X50,X51)=0,X51,_xlfn.BITXOR(X50,X51))</f>
        <v>117</v>
      </c>
      <c r="Y52" s="139">
        <f t="shared" ref="Y52:AA52" ca="1" si="36">IF(_xlfn.BITXOR(Y50,Y51)=0,Y51,_xlfn.BITXOR(Y50,Y51))</f>
        <v>140</v>
      </c>
      <c r="Z52" s="139">
        <f t="shared" ca="1" si="36"/>
        <v>208</v>
      </c>
      <c r="AA52" s="139">
        <f t="shared" ca="1" si="36"/>
        <v>172</v>
      </c>
      <c r="AB52" s="139" t="str">
        <f t="shared" ca="1" si="23"/>
        <v>8,8,8,8</v>
      </c>
      <c r="AC52" s="339" t="str">
        <f t="shared" ca="1" si="16"/>
        <v>01110101,10001100,11010000,10101100</v>
      </c>
      <c r="AD52" s="339"/>
      <c r="AE52" s="339"/>
      <c r="AF52" s="139"/>
      <c r="AG52" s="3"/>
      <c r="AH52" s="139">
        <f ca="1">IF(_xlfn.BITXOR(AH50,AH51)=0,AH51,_xlfn.BITXOR(AH50,AH51))</f>
        <v>4</v>
      </c>
      <c r="AI52" s="139">
        <f t="shared" ref="AI52:AK52" ca="1" si="37">IF(_xlfn.BITXOR(AI50,AI51)=0,AI51,_xlfn.BITXOR(AI50,AI51))</f>
        <v>44</v>
      </c>
      <c r="AJ52" s="139">
        <f t="shared" ca="1" si="37"/>
        <v>229</v>
      </c>
      <c r="AK52" s="139">
        <f t="shared" ca="1" si="37"/>
        <v>21</v>
      </c>
      <c r="AL52" s="139" t="str">
        <f t="shared" ca="1" si="25"/>
        <v>8,8,8,8</v>
      </c>
      <c r="AM52" s="339" t="str">
        <f t="shared" ca="1" si="19"/>
        <v>00000100,00101100,11100101,00010101</v>
      </c>
      <c r="AN52" s="339"/>
      <c r="AO52" s="339"/>
      <c r="AP52" s="252"/>
    </row>
    <row r="53" spans="2:51" x14ac:dyDescent="0.25">
      <c r="B53" s="253"/>
      <c r="C53" s="3"/>
      <c r="D53" s="370">
        <f ca="1">_xlfn.BITXOR(_xlfn.BITXOR(D52,E52),_xlfn.BITXOR(F52,G52))</f>
        <v>147</v>
      </c>
      <c r="E53" s="370"/>
      <c r="F53" s="370"/>
      <c r="G53" s="370"/>
      <c r="H53" s="321">
        <f ca="1">LEN(_xlfn.BASE(D53,2,8))</f>
        <v>8</v>
      </c>
      <c r="I53" s="370" t="str">
        <f ca="1">_xlfn.BASE(D53,2,8)</f>
        <v>10010011</v>
      </c>
      <c r="J53" s="370"/>
      <c r="K53" s="370"/>
      <c r="L53" s="320"/>
      <c r="M53" s="3"/>
      <c r="N53" s="370">
        <f ca="1">_xlfn.BITXOR(_xlfn.BITXOR(N52,O52),_xlfn.BITXOR(P52,Q52))</f>
        <v>69</v>
      </c>
      <c r="O53" s="370"/>
      <c r="P53" s="370"/>
      <c r="Q53" s="370"/>
      <c r="R53" s="321">
        <f ca="1">LEN(_xlfn.BASE(N53,2,8))</f>
        <v>8</v>
      </c>
      <c r="S53" s="370" t="str">
        <f ca="1">_xlfn.BASE(N53,2,8)</f>
        <v>01000101</v>
      </c>
      <c r="T53" s="370"/>
      <c r="U53" s="370"/>
      <c r="V53" s="320"/>
      <c r="W53" s="3"/>
      <c r="X53" s="370">
        <f ca="1">_xlfn.BITXOR(_xlfn.BITXOR(X52,Y52),_xlfn.BITXOR(Z52,AA52))</f>
        <v>133</v>
      </c>
      <c r="Y53" s="370"/>
      <c r="Z53" s="370"/>
      <c r="AA53" s="370"/>
      <c r="AB53" s="321">
        <f ca="1">LEN(_xlfn.BASE(X53,2,8))</f>
        <v>8</v>
      </c>
      <c r="AC53" s="370" t="str">
        <f ca="1">_xlfn.BASE(X53,2,8)</f>
        <v>10000101</v>
      </c>
      <c r="AD53" s="370"/>
      <c r="AE53" s="370"/>
      <c r="AF53" s="28"/>
      <c r="AG53" s="3"/>
      <c r="AH53" s="370">
        <f ca="1">_xlfn.BITXOR(_xlfn.BITXOR(AH52,AI52),_xlfn.BITXOR(AJ52,AK52))</f>
        <v>216</v>
      </c>
      <c r="AI53" s="370"/>
      <c r="AJ53" s="370"/>
      <c r="AK53" s="370"/>
      <c r="AL53" s="321">
        <f ca="1">LEN(_xlfn.BASE(AH53,2,8))</f>
        <v>8</v>
      </c>
      <c r="AM53" s="370" t="str">
        <f ca="1">_xlfn.BASE(AH53,2,8)</f>
        <v>11011000</v>
      </c>
      <c r="AN53" s="370"/>
      <c r="AO53" s="370"/>
      <c r="AP53" s="252"/>
      <c r="AS53" s="361"/>
      <c r="AT53" s="361"/>
      <c r="AX53" s="361"/>
      <c r="AY53" s="361"/>
    </row>
    <row r="54" spans="2:51" x14ac:dyDescent="0.25">
      <c r="B54" s="250"/>
      <c r="C54" s="3"/>
      <c r="D54" s="3"/>
      <c r="E54" s="3"/>
      <c r="F54" s="3"/>
      <c r="G54" s="3"/>
      <c r="H54" s="3"/>
      <c r="I54" s="3"/>
      <c r="J54" s="3"/>
      <c r="K54" s="3"/>
      <c r="L54" s="3"/>
      <c r="M54" s="3"/>
      <c r="N54" s="3"/>
      <c r="O54" s="3"/>
      <c r="P54" s="3"/>
      <c r="Q54" s="3"/>
      <c r="R54" s="3"/>
      <c r="S54" s="3"/>
      <c r="T54" s="3"/>
      <c r="U54" s="3"/>
      <c r="V54" s="3"/>
      <c r="W54" s="3"/>
      <c r="X54" s="3"/>
      <c r="Y54" s="28"/>
      <c r="Z54" s="28"/>
      <c r="AA54" s="3"/>
      <c r="AB54" s="3"/>
      <c r="AC54" s="3"/>
      <c r="AD54" s="3"/>
      <c r="AE54" s="28"/>
      <c r="AF54" s="139"/>
      <c r="AG54" s="3"/>
      <c r="AH54" s="3"/>
      <c r="AI54" s="28"/>
      <c r="AJ54" s="28"/>
      <c r="AK54" s="3"/>
      <c r="AL54" s="3"/>
      <c r="AM54" s="3"/>
      <c r="AN54" s="3"/>
      <c r="AO54" s="28"/>
      <c r="AP54" s="252"/>
    </row>
    <row r="55" spans="2:51" x14ac:dyDescent="0.25">
      <c r="B55" s="250"/>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139"/>
      <c r="AG55" s="3"/>
      <c r="AH55" s="3"/>
      <c r="AI55" s="3"/>
      <c r="AJ55" s="3"/>
      <c r="AK55" s="3"/>
      <c r="AL55" s="3"/>
      <c r="AM55" s="3"/>
      <c r="AN55" s="3"/>
      <c r="AO55" s="3"/>
      <c r="AP55" s="251"/>
    </row>
    <row r="56" spans="2:51" x14ac:dyDescent="0.25">
      <c r="B56" s="250"/>
      <c r="C56" s="3"/>
      <c r="D56" s="339" t="s">
        <v>31</v>
      </c>
      <c r="E56" s="339"/>
      <c r="F56" s="339"/>
      <c r="G56" s="339"/>
      <c r="H56" s="139" t="s">
        <v>298</v>
      </c>
      <c r="I56" s="339" t="s">
        <v>256</v>
      </c>
      <c r="J56" s="339"/>
      <c r="K56" s="339"/>
      <c r="L56" s="139"/>
      <c r="M56" s="139"/>
      <c r="N56" s="339" t="s">
        <v>35</v>
      </c>
      <c r="O56" s="339"/>
      <c r="P56" s="339"/>
      <c r="Q56" s="339"/>
      <c r="R56" s="139" t="s">
        <v>298</v>
      </c>
      <c r="S56" s="339" t="s">
        <v>256</v>
      </c>
      <c r="T56" s="339"/>
      <c r="U56" s="339"/>
      <c r="V56" s="139"/>
      <c r="W56" s="139"/>
      <c r="X56" s="339" t="s">
        <v>39</v>
      </c>
      <c r="Y56" s="339"/>
      <c r="Z56" s="339"/>
      <c r="AA56" s="339"/>
      <c r="AB56" s="139" t="s">
        <v>298</v>
      </c>
      <c r="AC56" s="339" t="s">
        <v>256</v>
      </c>
      <c r="AD56" s="339"/>
      <c r="AE56" s="339"/>
      <c r="AF56" s="139"/>
      <c r="AG56" s="139"/>
      <c r="AH56" s="339" t="s">
        <v>27</v>
      </c>
      <c r="AI56" s="339"/>
      <c r="AJ56" s="339"/>
      <c r="AK56" s="339"/>
      <c r="AL56" s="139" t="s">
        <v>298</v>
      </c>
      <c r="AM56" s="339" t="s">
        <v>256</v>
      </c>
      <c r="AN56" s="339"/>
      <c r="AO56" s="339"/>
      <c r="AP56" s="251"/>
    </row>
    <row r="57" spans="2:51" x14ac:dyDescent="0.25">
      <c r="B57" s="380" t="s">
        <v>259</v>
      </c>
      <c r="C57" s="3"/>
      <c r="D57" s="139">
        <f ca="1">$E$36</f>
        <v>208</v>
      </c>
      <c r="E57" s="139">
        <f ca="1">$E$37</f>
        <v>26</v>
      </c>
      <c r="F57" s="139">
        <f ca="1">$E$38</f>
        <v>132</v>
      </c>
      <c r="G57" s="139">
        <f ca="1">$E$39</f>
        <v>52</v>
      </c>
      <c r="H57" s="139" t="str">
        <f ca="1">LEN(_xlfn.BASE(D57,2,8))&amp;","&amp;LEN(_xlfn.BASE(E57,2,8))&amp;","&amp;LEN(_xlfn.BASE(F57,2,8))&amp;","&amp;LEN(_xlfn.BASE(G57,2,8))</f>
        <v>8,8,8,8</v>
      </c>
      <c r="I57" s="339" t="str">
        <f ca="1">_xlfn.BASE(D57,2,8)&amp;","&amp;_xlfn.BASE(E57,2,8)&amp;","&amp;_xlfn.BASE(F57,2,8)&amp;","&amp;_xlfn.BASE(G57,2,8)</f>
        <v>11010000,00011010,10000100,00110100</v>
      </c>
      <c r="J57" s="339"/>
      <c r="K57" s="339"/>
      <c r="L57" s="139"/>
      <c r="M57" s="3"/>
      <c r="N57" s="139">
        <f ca="1">$I$36</f>
        <v>84</v>
      </c>
      <c r="O57" s="139">
        <f ca="1">$I$37</f>
        <v>144</v>
      </c>
      <c r="P57" s="139">
        <f ca="1">$I$38</f>
        <v>173</v>
      </c>
      <c r="Q57" s="139">
        <f ca="1">$I$39</f>
        <v>176</v>
      </c>
      <c r="R57" s="139" t="str">
        <f ca="1">LEN(_xlfn.BASE(N57,2,8))&amp;","&amp;LEN(_xlfn.BASE(O57,2,8))&amp;","&amp;LEN(_xlfn.BASE(P57,2,8))&amp;","&amp;LEN(_xlfn.BASE(Q57,2,8))</f>
        <v>8,8,8,8</v>
      </c>
      <c r="S57" s="339" t="str">
        <f ca="1">_xlfn.BASE(N57,2,8)&amp;","&amp;_xlfn.BASE(O57,2,8)&amp;","&amp;_xlfn.BASE(P57,2,8)&amp;","&amp;_xlfn.BASE(Q57,2,8)</f>
        <v>01010100,10010000,10101101,10110000</v>
      </c>
      <c r="T57" s="339"/>
      <c r="U57" s="339"/>
      <c r="V57" s="139"/>
      <c r="W57" s="3"/>
      <c r="X57" s="139">
        <f ca="1">$M$36</f>
        <v>84</v>
      </c>
      <c r="Y57" s="139">
        <f ca="1">$M$37</f>
        <v>160</v>
      </c>
      <c r="Z57" s="139">
        <f ca="1">$M$38</f>
        <v>16</v>
      </c>
      <c r="AA57" s="139">
        <f ca="1">$M$39</f>
        <v>198</v>
      </c>
      <c r="AB57" s="139" t="str">
        <f ca="1">LEN(_xlfn.BASE(X57,2,8))&amp;","&amp;LEN(_xlfn.BASE(Y57,2,8))&amp;","&amp;LEN(_xlfn.BASE(Z57,2,8))&amp;","&amp;LEN(_xlfn.BASE(AA57,2,8))</f>
        <v>8,8,8,8</v>
      </c>
      <c r="AC57" s="339" t="str">
        <f ca="1">_xlfn.BASE(X57,2,8)&amp;","&amp;_xlfn.BASE(Y57,2,8)&amp;","&amp;_xlfn.BASE(Z57,2,8)&amp;","&amp;_xlfn.BASE(AA57,2,8)</f>
        <v>01010100,10100000,00010000,11000110</v>
      </c>
      <c r="AD57" s="339"/>
      <c r="AE57" s="339"/>
      <c r="AF57" s="139"/>
      <c r="AG57" s="3"/>
      <c r="AH57" s="139">
        <f ca="1">$Q$36</f>
        <v>185</v>
      </c>
      <c r="AI57" s="139">
        <f ca="1">$Q$37</f>
        <v>4</v>
      </c>
      <c r="AJ57" s="139">
        <f ca="1">$Q$38</f>
        <v>245</v>
      </c>
      <c r="AK57" s="139">
        <f ca="1">$Q$39</f>
        <v>244</v>
      </c>
      <c r="AL57" s="139" t="str">
        <f ca="1">LEN(_xlfn.BASE(AH57,2,8))&amp;","&amp;LEN(_xlfn.BASE(AI57,2,8))&amp;","&amp;LEN(_xlfn.BASE(AJ57,2,8))&amp;","&amp;LEN(_xlfn.BASE(AK57,2,8))</f>
        <v>8,8,8,8</v>
      </c>
      <c r="AM57" s="339" t="str">
        <f ca="1">_xlfn.BASE(AH57,2,8)&amp;","&amp;_xlfn.BASE(AI57,2,8)&amp;","&amp;_xlfn.BASE(AJ57,2,8)&amp;","&amp;_xlfn.BASE(AK57,2,8)</f>
        <v>10111001,00000100,11110101,11110100</v>
      </c>
      <c r="AN57" s="339"/>
      <c r="AO57" s="339"/>
      <c r="AP57" s="251"/>
    </row>
    <row r="58" spans="2:51" x14ac:dyDescent="0.25">
      <c r="B58" s="380"/>
      <c r="C58" s="139" t="s">
        <v>312</v>
      </c>
      <c r="D58" s="145">
        <v>9</v>
      </c>
      <c r="E58" s="145">
        <v>14</v>
      </c>
      <c r="F58" s="145">
        <v>11</v>
      </c>
      <c r="G58" s="145">
        <v>13</v>
      </c>
      <c r="H58" s="323" t="str">
        <f>LEN(_xlfn.BASE(D58,2,4))&amp;","&amp;LEN(_xlfn.BASE(E58,2,4))&amp;","&amp;LEN(_xlfn.BASE(F58,2,4))&amp;","&amp;LEN(_xlfn.BASE(G58,2,4))</f>
        <v>4,4,4,4</v>
      </c>
      <c r="I58" s="366" t="str">
        <f>_xlfn.BASE(D58,2,4)&amp;","&amp;_xlfn.BASE(E58,2,4)&amp;","&amp;_xlfn.BASE(F58,2,4)&amp;","&amp;_xlfn.BASE(G58,2,4)</f>
        <v>1001,1110,1011,1101</v>
      </c>
      <c r="J58" s="366"/>
      <c r="K58" s="366"/>
      <c r="L58" s="28"/>
      <c r="M58" s="322" t="s">
        <v>312</v>
      </c>
      <c r="N58" s="323">
        <v>9</v>
      </c>
      <c r="O58" s="323">
        <v>14</v>
      </c>
      <c r="P58" s="323">
        <v>11</v>
      </c>
      <c r="Q58" s="323">
        <v>13</v>
      </c>
      <c r="R58" s="323" t="str">
        <f>LEN(_xlfn.BASE(N58,2,4))&amp;","&amp;LEN(_xlfn.BASE(O58,2,4))&amp;","&amp;LEN(_xlfn.BASE(P58,2,4))&amp;","&amp;LEN(_xlfn.BASE(Q58,2,4))</f>
        <v>4,4,4,4</v>
      </c>
      <c r="S58" s="366" t="str">
        <f>_xlfn.BASE(N58,2,4)&amp;","&amp;_xlfn.BASE(O58,2,4)&amp;","&amp;_xlfn.BASE(P58,2,4)&amp;","&amp;_xlfn.BASE(Q58,2,4)</f>
        <v>1001,1110,1011,1101</v>
      </c>
      <c r="T58" s="366"/>
      <c r="U58" s="366"/>
      <c r="V58" s="139"/>
      <c r="W58" s="139"/>
      <c r="X58" s="145">
        <v>9</v>
      </c>
      <c r="Y58" s="145">
        <v>14</v>
      </c>
      <c r="Z58" s="145">
        <v>11</v>
      </c>
      <c r="AA58" s="145">
        <v>13</v>
      </c>
      <c r="AB58" s="323" t="str">
        <f>LEN(_xlfn.BASE(X58,2,4))&amp;","&amp;LEN(_xlfn.BASE(Y58,2,4))&amp;","&amp;LEN(_xlfn.BASE(Z58,2,4))&amp;","&amp;LEN(_xlfn.BASE(AA58,2,4))</f>
        <v>4,4,4,4</v>
      </c>
      <c r="AC58" s="366" t="str">
        <f>_xlfn.BASE(X58,2,4)&amp;","&amp;_xlfn.BASE(Y58,2,4)&amp;","&amp;_xlfn.BASE(Z58,2,4)&amp;","&amp;_xlfn.BASE(AA58,2,4)</f>
        <v>1001,1110,1011,1101</v>
      </c>
      <c r="AD58" s="366"/>
      <c r="AE58" s="366"/>
      <c r="AF58" s="139"/>
      <c r="AG58" s="139" t="s">
        <v>312</v>
      </c>
      <c r="AH58" s="145">
        <v>9</v>
      </c>
      <c r="AI58" s="145">
        <v>14</v>
      </c>
      <c r="AJ58" s="145">
        <v>11</v>
      </c>
      <c r="AK58" s="145">
        <v>13</v>
      </c>
      <c r="AL58" s="323" t="str">
        <f>LEN(_xlfn.BASE(AH58,2,4))&amp;","&amp;LEN(_xlfn.BASE(AI58,2,4))&amp;","&amp;LEN(_xlfn.BASE(AJ58,2,4))&amp;","&amp;LEN(_xlfn.BASE(AK58,2,4))</f>
        <v>4,4,4,4</v>
      </c>
      <c r="AM58" s="366" t="str">
        <f>_xlfn.BASE(AH58,2,4)&amp;","&amp;_xlfn.BASE(AI58,2,4)&amp;","&amp;_xlfn.BASE(AJ58,2,4)&amp;","&amp;_xlfn.BASE(AK58,2,4)</f>
        <v>1001,1110,1011,1101</v>
      </c>
      <c r="AN58" s="366"/>
      <c r="AO58" s="366"/>
      <c r="AP58" s="252"/>
    </row>
    <row r="59" spans="2:51" x14ac:dyDescent="0.25">
      <c r="B59" s="380" t="s">
        <v>311</v>
      </c>
      <c r="C59" s="3"/>
      <c r="D59" s="139">
        <f ca="1">_xlfn.BITXOR(D57,8*D57)</f>
        <v>1616</v>
      </c>
      <c r="E59" s="139">
        <f ca="1">_xlfn.BITXOR(2*E57,_xlfn.BITXOR(4*E57,8*E57))</f>
        <v>140</v>
      </c>
      <c r="F59" s="139">
        <f ca="1">_xlfn.BITXOR(F57,_xlfn.BITXOR(2*F57,8*F57))</f>
        <v>1452</v>
      </c>
      <c r="G59" s="139">
        <f ca="1">_xlfn.BITXOR(G57,_xlfn.BITXOR(4*G57,8*G57))</f>
        <v>324</v>
      </c>
      <c r="H59" s="139" t="str">
        <f ca="1">LEN(_xlfn.BASE(D59,2,8))&amp;","&amp;LEN(_xlfn.BASE(E59,2,8))&amp;","&amp;LEN(_xlfn.BASE(F59,2,8))&amp;","&amp;LEN(_xlfn.BASE(G59,2,8))</f>
        <v>11,8,11,9</v>
      </c>
      <c r="I59" s="339" t="str">
        <f ca="1">_xlfn.BASE(D59,2,8)&amp;","&amp;_xlfn.BASE(E59,2,8)&amp;","&amp;_xlfn.BASE(F59,2,8)&amp;","&amp;_xlfn.BASE(G59,2,8)</f>
        <v>11001010000,10001100,10110101100,101000100</v>
      </c>
      <c r="J59" s="339"/>
      <c r="K59" s="339"/>
      <c r="L59" s="139"/>
      <c r="M59" s="3"/>
      <c r="N59" s="139">
        <f ca="1">_xlfn.BITXOR(N57,8*N57)</f>
        <v>756</v>
      </c>
      <c r="O59" s="139">
        <f ca="1">_xlfn.BITXOR(2*O57,_xlfn.BITXOR(4*O57,8*O57))</f>
        <v>2016</v>
      </c>
      <c r="P59" s="139">
        <f ca="1">_xlfn.BITXOR(P57,_xlfn.BITXOR(2*P57,8*P57))</f>
        <v>1183</v>
      </c>
      <c r="Q59" s="139">
        <f ca="1">_xlfn.BITXOR(Q57,_xlfn.BITXOR(4*Q57,8*Q57))</f>
        <v>2032</v>
      </c>
      <c r="R59" s="139" t="str">
        <f t="shared" ref="R59:R65" ca="1" si="38">LEN(_xlfn.BASE(N59,2,8))&amp;","&amp;LEN(_xlfn.BASE(O59,2,8))&amp;","&amp;LEN(_xlfn.BASE(P59,2,8))&amp;","&amp;LEN(_xlfn.BASE(Q59,2,8))</f>
        <v>10,11,11,11</v>
      </c>
      <c r="S59" s="339" t="str">
        <f t="shared" ref="S59:S65" ca="1" si="39">_xlfn.BASE(N59,2,8)&amp;","&amp;_xlfn.BASE(O59,2,8)&amp;","&amp;_xlfn.BASE(P59,2,8)&amp;","&amp;_xlfn.BASE(Q59,2,8)</f>
        <v>1011110100,11111100000,10010011111,11111110000</v>
      </c>
      <c r="T59" s="339"/>
      <c r="U59" s="339"/>
      <c r="V59" s="139"/>
      <c r="W59" s="3"/>
      <c r="X59" s="139">
        <f ca="1">_xlfn.BITXOR(X57,8*X57)</f>
        <v>756</v>
      </c>
      <c r="Y59" s="139">
        <f ca="1">_xlfn.BITXOR(2*Y57,_xlfn.BITXOR(4*Y57,8*Y57))</f>
        <v>1728</v>
      </c>
      <c r="Z59" s="139">
        <f ca="1">_xlfn.BITXOR(Z57,_xlfn.BITXOR(2*Z57,8*Z57))</f>
        <v>176</v>
      </c>
      <c r="AA59" s="139">
        <f ca="1">_xlfn.BITXOR(AA57,_xlfn.BITXOR(4*AA57,8*AA57))</f>
        <v>1518</v>
      </c>
      <c r="AB59" s="139" t="str">
        <f ca="1">LEN(_xlfn.BASE(X59,2,8))&amp;","&amp;LEN(_xlfn.BASE(Y59,2,8))&amp;","&amp;LEN(_xlfn.BASE(Z59,2,8))&amp;","&amp;LEN(_xlfn.BASE(AA59,2,8))</f>
        <v>10,11,8,11</v>
      </c>
      <c r="AC59" s="339" t="str">
        <f ca="1">_xlfn.BASE(X59,2,8)&amp;","&amp;_xlfn.BASE(Y59,2,8)&amp;","&amp;_xlfn.BASE(Z59,2,8)&amp;","&amp;_xlfn.BASE(AA59,2,8)</f>
        <v>1011110100,11011000000,10110000,10111101110</v>
      </c>
      <c r="AD59" s="339"/>
      <c r="AE59" s="339"/>
      <c r="AF59" s="139"/>
      <c r="AG59" s="3"/>
      <c r="AH59" s="139">
        <f ca="1">_xlfn.BITXOR(AH57,8*AH57)</f>
        <v>1393</v>
      </c>
      <c r="AI59" s="139">
        <f ca="1">_xlfn.BITXOR(2*AI57,_xlfn.BITXOR(4*AI57,8*AI57))</f>
        <v>56</v>
      </c>
      <c r="AJ59" s="139">
        <f ca="1">_xlfn.BITXOR(AJ57,_xlfn.BITXOR(2*AJ57,8*AJ57))</f>
        <v>1719</v>
      </c>
      <c r="AK59" s="139">
        <f ca="1">_xlfn.BITXOR(AK57,_xlfn.BITXOR(4*AK57,8*AK57))</f>
        <v>1156</v>
      </c>
      <c r="AL59" s="139" t="str">
        <f ca="1">LEN(_xlfn.BASE(AH59,2,8))&amp;","&amp;LEN(_xlfn.BASE(AI59,2,8))&amp;","&amp;LEN(_xlfn.BASE(AJ59,2,8))&amp;","&amp;LEN(_xlfn.BASE(AK59,2,8))</f>
        <v>11,8,11,11</v>
      </c>
      <c r="AM59" s="339" t="str">
        <f ca="1">_xlfn.BASE(AH59,2,8)&amp;","&amp;_xlfn.BASE(AI59,2,8)&amp;","&amp;_xlfn.BASE(AJ59,2,8)&amp;","&amp;_xlfn.BASE(AK59,2,8)</f>
        <v>10101110001,00111000,11010110111,10010000100</v>
      </c>
      <c r="AN59" s="339"/>
      <c r="AO59" s="339"/>
      <c r="AP59" s="252"/>
      <c r="AS59" s="361"/>
      <c r="AT59" s="361"/>
      <c r="AX59" s="361"/>
      <c r="AY59" s="361"/>
    </row>
    <row r="60" spans="2:51" x14ac:dyDescent="0.25">
      <c r="B60" s="380"/>
      <c r="C60" s="145" t="s">
        <v>72</v>
      </c>
      <c r="D60" s="145">
        <f ca="1">IF(LEN(_xlfn.BASE(D59,2,8))-9&lt;0,D59,IF(LEN(_xlfn.BASE(D59,2,8))-9=0,283,IF(LEN(_xlfn.BASE(D59,2,8))-9=1,566,IF(LEN(_xlfn.BASE(D59,2,8))-9=2,1132,IF(LEN(_xlfn.BASE(D59,2,8))-9=3,2264)))))</f>
        <v>1132</v>
      </c>
      <c r="E60" s="145">
        <f t="shared" ref="E60:G60" ca="1" si="40">IF(LEN(_xlfn.BASE(E59,2,8))-9&lt;0,E59,IF(LEN(_xlfn.BASE(E59,2,8))-9=0,283,IF(LEN(_xlfn.BASE(E59,2,8))-9=1,566,IF(LEN(_xlfn.BASE(E59,2,8))-9=2,1132,IF(LEN(_xlfn.BASE(E59,2,8))-9=3,2264)))))</f>
        <v>140</v>
      </c>
      <c r="F60" s="145">
        <f t="shared" ca="1" si="40"/>
        <v>1132</v>
      </c>
      <c r="G60" s="145">
        <f t="shared" ca="1" si="40"/>
        <v>283</v>
      </c>
      <c r="H60" s="145" t="str">
        <f t="shared" ref="H60" ca="1" si="41">LEN(_xlfn.BASE(D60,2,8))&amp;","&amp;LEN(_xlfn.BASE(E60,2,8))&amp;","&amp;LEN(_xlfn.BASE(F60,2,8))&amp;","&amp;LEN(_xlfn.BASE(G60,2,8))</f>
        <v>11,8,11,9</v>
      </c>
      <c r="I60" s="366" t="str">
        <f t="shared" ref="I60:I65" ca="1" si="42">_xlfn.BASE(D60,2,8)&amp;","&amp;_xlfn.BASE(E60,2,8)&amp;","&amp;_xlfn.BASE(F60,2,8)&amp;","&amp;_xlfn.BASE(G60,2,8)</f>
        <v>10001101100,10001100,10001101100,100011011</v>
      </c>
      <c r="J60" s="366"/>
      <c r="K60" s="366"/>
      <c r="L60" s="139"/>
      <c r="M60" s="145" t="s">
        <v>72</v>
      </c>
      <c r="N60" s="145">
        <f ca="1">IF(LEN(_xlfn.BASE(N59,2,8))-9&lt;0,N59,IF(LEN(_xlfn.BASE(N59,2,8))-9=0,283,IF(LEN(_xlfn.BASE(N59,2,8))-9=1,566,IF(LEN(_xlfn.BASE(N59,2,8))-9=2,1132,IF(LEN(_xlfn.BASE(N59,2,8))-9=3,2264)))))</f>
        <v>566</v>
      </c>
      <c r="O60" s="145">
        <f t="shared" ref="O60:Q60" ca="1" si="43">IF(LEN(_xlfn.BASE(O59,2,8))-9&lt;0,O59,IF(LEN(_xlfn.BASE(O59,2,8))-9=0,283,IF(LEN(_xlfn.BASE(O59,2,8))-9=1,566,IF(LEN(_xlfn.BASE(O59,2,8))-9=2,1132,IF(LEN(_xlfn.BASE(O59,2,8))-9=3,2264)))))</f>
        <v>1132</v>
      </c>
      <c r="P60" s="145">
        <f t="shared" ca="1" si="43"/>
        <v>1132</v>
      </c>
      <c r="Q60" s="145">
        <f t="shared" ca="1" si="43"/>
        <v>1132</v>
      </c>
      <c r="R60" s="145" t="str">
        <f t="shared" ca="1" si="38"/>
        <v>10,11,11,11</v>
      </c>
      <c r="S60" s="366" t="str">
        <f t="shared" ca="1" si="39"/>
        <v>1000110110,10001101100,10001101100,10001101100</v>
      </c>
      <c r="T60" s="366"/>
      <c r="U60" s="366"/>
      <c r="V60" s="139"/>
      <c r="W60" s="145" t="s">
        <v>72</v>
      </c>
      <c r="X60" s="145">
        <f ca="1">IF(LEN(_xlfn.BASE(X59,2,8))-9&lt;0,X59,IF(LEN(_xlfn.BASE(X59,2,8))-9=0,283,IF(LEN(_xlfn.BASE(X59,2,8))-9=1,566,IF(LEN(_xlfn.BASE(X59,2,8))-9=2,1132,IF(LEN(_xlfn.BASE(X59,2,8))-9=3,2264)))))</f>
        <v>566</v>
      </c>
      <c r="Y60" s="145">
        <f t="shared" ref="Y60:AA60" ca="1" si="44">IF(LEN(_xlfn.BASE(Y59,2,8))-9&lt;0,Y59,IF(LEN(_xlfn.BASE(Y59,2,8))-9=0,283,IF(LEN(_xlfn.BASE(Y59,2,8))-9=1,566,IF(LEN(_xlfn.BASE(Y59,2,8))-9=2,1132,IF(LEN(_xlfn.BASE(Y59,2,8))-9=3,2264)))))</f>
        <v>1132</v>
      </c>
      <c r="Z60" s="145">
        <f t="shared" ca="1" si="44"/>
        <v>176</v>
      </c>
      <c r="AA60" s="145">
        <f t="shared" ca="1" si="44"/>
        <v>1132</v>
      </c>
      <c r="AB60" s="145" t="str">
        <f t="shared" ref="AB60" ca="1" si="45">LEN(_xlfn.BASE(X60,2,8))&amp;","&amp;LEN(_xlfn.BASE(Y60,2,8))&amp;","&amp;LEN(_xlfn.BASE(Z60,2,8))&amp;","&amp;LEN(_xlfn.BASE(AA60,2,8))</f>
        <v>10,11,8,11</v>
      </c>
      <c r="AC60" s="366" t="str">
        <f t="shared" ref="AC60:AC65" ca="1" si="46">_xlfn.BASE(X60,2,8)&amp;","&amp;_xlfn.BASE(Y60,2,8)&amp;","&amp;_xlfn.BASE(Z60,2,8)&amp;","&amp;_xlfn.BASE(AA60,2,8)</f>
        <v>1000110110,10001101100,10110000,10001101100</v>
      </c>
      <c r="AD60" s="366"/>
      <c r="AE60" s="366"/>
      <c r="AF60" s="3"/>
      <c r="AG60" s="145" t="s">
        <v>72</v>
      </c>
      <c r="AH60" s="145">
        <f ca="1">IF(LEN(_xlfn.BASE(AH59,2,8))-9&lt;0,AH59,IF(LEN(_xlfn.BASE(AH59,2,8))-9=0,283,IF(LEN(_xlfn.BASE(AH59,2,8))-9=1,566,IF(LEN(_xlfn.BASE(AH59,2,8))-9=2,1132,IF(LEN(_xlfn.BASE(AH59,2,8))-9=3,2264)))))</f>
        <v>1132</v>
      </c>
      <c r="AI60" s="145">
        <f t="shared" ref="AI60:AK60" ca="1" si="47">IF(LEN(_xlfn.BASE(AI59,2,8))-9&lt;0,AI59,IF(LEN(_xlfn.BASE(AI59,2,8))-9=0,283,IF(LEN(_xlfn.BASE(AI59,2,8))-9=1,566,IF(LEN(_xlfn.BASE(AI59,2,8))-9=2,1132,IF(LEN(_xlfn.BASE(AI59,2,8))-9=3,2264)))))</f>
        <v>56</v>
      </c>
      <c r="AJ60" s="145">
        <f t="shared" ca="1" si="47"/>
        <v>1132</v>
      </c>
      <c r="AK60" s="145">
        <f t="shared" ca="1" si="47"/>
        <v>1132</v>
      </c>
      <c r="AL60" s="145" t="str">
        <f t="shared" ref="AL60" ca="1" si="48">LEN(_xlfn.BASE(AH60,2,8))&amp;","&amp;LEN(_xlfn.BASE(AI60,2,8))&amp;","&amp;LEN(_xlfn.BASE(AJ60,2,8))&amp;","&amp;LEN(_xlfn.BASE(AK60,2,8))</f>
        <v>11,8,11,11</v>
      </c>
      <c r="AM60" s="366" t="str">
        <f t="shared" ref="AM60:AM65" ca="1" si="49">_xlfn.BASE(AH60,2,8)&amp;","&amp;_xlfn.BASE(AI60,2,8)&amp;","&amp;_xlfn.BASE(AJ60,2,8)&amp;","&amp;_xlfn.BASE(AK60,2,8)</f>
        <v>10001101100,00111000,10001101100,10001101100</v>
      </c>
      <c r="AN60" s="366"/>
      <c r="AO60" s="366"/>
      <c r="AP60" s="252"/>
    </row>
    <row r="61" spans="2:51" x14ac:dyDescent="0.25">
      <c r="B61" s="380"/>
      <c r="C61" s="139"/>
      <c r="D61" s="139">
        <f ca="1">IF(_xlfn.BITXOR(D59,D60)=0,D59,_xlfn.BITXOR(D59,D60))</f>
        <v>572</v>
      </c>
      <c r="E61" s="139">
        <f t="shared" ref="E61:G61" ca="1" si="50">IF(_xlfn.BITXOR(E59,E60)=0,E59,_xlfn.BITXOR(E59,E60))</f>
        <v>140</v>
      </c>
      <c r="F61" s="139">
        <f t="shared" ca="1" si="50"/>
        <v>448</v>
      </c>
      <c r="G61" s="139">
        <f t="shared" ca="1" si="50"/>
        <v>95</v>
      </c>
      <c r="H61" s="139" t="str">
        <f ca="1">LEN(_xlfn.BASE(D61,2,8))&amp;","&amp;LEN(_xlfn.BASE(E61,2,8))&amp;","&amp;LEN(_xlfn.BASE(F61,2,8))&amp;","&amp;LEN(_xlfn.BASE(G61,2,8))</f>
        <v>10,8,9,8</v>
      </c>
      <c r="I61" s="339" t="str">
        <f t="shared" ca="1" si="42"/>
        <v>1000111100,10001100,111000000,01011111</v>
      </c>
      <c r="J61" s="339"/>
      <c r="K61" s="339"/>
      <c r="L61" s="3"/>
      <c r="M61" s="139"/>
      <c r="N61" s="139">
        <f ca="1">IF(_xlfn.BITXOR(N59,N60)=0,N59,_xlfn.BITXOR(N59,N60))</f>
        <v>194</v>
      </c>
      <c r="O61" s="139">
        <f t="shared" ref="O61:Q61" ca="1" si="51">IF(_xlfn.BITXOR(O59,O60)=0,O59,_xlfn.BITXOR(O59,O60))</f>
        <v>908</v>
      </c>
      <c r="P61" s="139">
        <f t="shared" ca="1" si="51"/>
        <v>243</v>
      </c>
      <c r="Q61" s="139">
        <f t="shared" ca="1" si="51"/>
        <v>924</v>
      </c>
      <c r="R61" s="139" t="str">
        <f t="shared" ca="1" si="38"/>
        <v>8,10,8,10</v>
      </c>
      <c r="S61" s="339" t="str">
        <f t="shared" ca="1" si="39"/>
        <v>11000010,1110001100,11110011,1110011100</v>
      </c>
      <c r="T61" s="339"/>
      <c r="U61" s="339"/>
      <c r="V61" s="3"/>
      <c r="W61" s="139"/>
      <c r="X61" s="139">
        <f ca="1">IF(_xlfn.BITXOR(X59,X60)=0,X59,_xlfn.BITXOR(X59,X60))</f>
        <v>194</v>
      </c>
      <c r="Y61" s="139">
        <f t="shared" ref="Y61:AA61" ca="1" si="52">IF(_xlfn.BITXOR(Y59,Y60)=0,Y59,_xlfn.BITXOR(Y59,Y60))</f>
        <v>684</v>
      </c>
      <c r="Z61" s="139">
        <f t="shared" ca="1" si="52"/>
        <v>176</v>
      </c>
      <c r="AA61" s="139">
        <f t="shared" ca="1" si="52"/>
        <v>386</v>
      </c>
      <c r="AB61" s="139" t="str">
        <f ca="1">LEN(_xlfn.BASE(X61,2,8))&amp;","&amp;LEN(_xlfn.BASE(Y61,2,8))&amp;","&amp;LEN(_xlfn.BASE(Z61,2,8))&amp;","&amp;LEN(_xlfn.BASE(AA61,2,8))</f>
        <v>8,10,8,9</v>
      </c>
      <c r="AC61" s="339" t="str">
        <f t="shared" ca="1" si="46"/>
        <v>11000010,1010101100,10110000,110000010</v>
      </c>
      <c r="AD61" s="339"/>
      <c r="AE61" s="339"/>
      <c r="AF61" s="3"/>
      <c r="AG61" s="139"/>
      <c r="AH61" s="139">
        <f ca="1">IF(_xlfn.BITXOR(AH59,AH60)=0,AH59,_xlfn.BITXOR(AH59,AH60))</f>
        <v>285</v>
      </c>
      <c r="AI61" s="139">
        <f t="shared" ref="AI61:AK61" ca="1" si="53">IF(_xlfn.BITXOR(AI59,AI60)=0,AI59,_xlfn.BITXOR(AI59,AI60))</f>
        <v>56</v>
      </c>
      <c r="AJ61" s="139">
        <f t="shared" ca="1" si="53"/>
        <v>731</v>
      </c>
      <c r="AK61" s="139">
        <f t="shared" ca="1" si="53"/>
        <v>232</v>
      </c>
      <c r="AL61" s="139" t="str">
        <f ca="1">LEN(_xlfn.BASE(AH61,2,8))&amp;","&amp;LEN(_xlfn.BASE(AI61,2,8))&amp;","&amp;LEN(_xlfn.BASE(AJ61,2,8))&amp;","&amp;LEN(_xlfn.BASE(AK61,2,8))</f>
        <v>9,8,10,8</v>
      </c>
      <c r="AM61" s="339" t="str">
        <f t="shared" ca="1" si="49"/>
        <v>100011101,00111000,1011011011,11101000</v>
      </c>
      <c r="AN61" s="339"/>
      <c r="AO61" s="339"/>
      <c r="AP61" s="251"/>
    </row>
    <row r="62" spans="2:51" x14ac:dyDescent="0.25">
      <c r="B62" s="380"/>
      <c r="C62" s="145" t="s">
        <v>72</v>
      </c>
      <c r="D62" s="145">
        <f ca="1">IF(LEN(_xlfn.BASE(D61,2,8))-9&lt;0,D61,IF(LEN(_xlfn.BASE(D61,2,8))-9=0,283,IF(LEN(_xlfn.BASE(D61,2,8))-9=1,566,IF(LEN(_xlfn.BASE(D61,2,8))-9=2,1132,IF(LEN(_xlfn.BASE(D61,2,8))-9=3,2264)))))</f>
        <v>566</v>
      </c>
      <c r="E62" s="145">
        <f t="shared" ref="E62:G62" ca="1" si="54">IF(LEN(_xlfn.BASE(E61,2,8))-9&lt;0,E61,IF(LEN(_xlfn.BASE(E61,2,8))-9=0,283,IF(LEN(_xlfn.BASE(E61,2,8))-9=1,566,IF(LEN(_xlfn.BASE(E61,2,8))-9=2,1132,IF(LEN(_xlfn.BASE(E61,2,8))-9=3,2264)))))</f>
        <v>140</v>
      </c>
      <c r="F62" s="145">
        <f t="shared" ca="1" si="54"/>
        <v>283</v>
      </c>
      <c r="G62" s="145">
        <f t="shared" ca="1" si="54"/>
        <v>95</v>
      </c>
      <c r="H62" s="145" t="str">
        <f t="shared" ref="H62:H65" ca="1" si="55">LEN(_xlfn.BASE(D62,2,8))&amp;","&amp;LEN(_xlfn.BASE(E62,2,8))&amp;","&amp;LEN(_xlfn.BASE(F62,2,8))&amp;","&amp;LEN(_xlfn.BASE(G62,2,8))</f>
        <v>10,8,9,8</v>
      </c>
      <c r="I62" s="366" t="str">
        <f t="shared" ca="1" si="42"/>
        <v>1000110110,10001100,100011011,01011111</v>
      </c>
      <c r="J62" s="366"/>
      <c r="K62" s="366"/>
      <c r="L62" s="3"/>
      <c r="M62" s="145" t="s">
        <v>72</v>
      </c>
      <c r="N62" s="145">
        <f ca="1">IF(LEN(_xlfn.BASE(N61,2,8))-9&lt;0,N61,IF(LEN(_xlfn.BASE(N61,2,8))-9=0,283,IF(LEN(_xlfn.BASE(N61,2,8))-9=1,566,IF(LEN(_xlfn.BASE(N61,2,8))-9=2,1132,IF(LEN(_xlfn.BASE(N61,2,8))-9=3,2264)))))</f>
        <v>194</v>
      </c>
      <c r="O62" s="145">
        <f t="shared" ref="O62:Q62" ca="1" si="56">IF(LEN(_xlfn.BASE(O61,2,8))-9&lt;0,O61,IF(LEN(_xlfn.BASE(O61,2,8))-9=0,283,IF(LEN(_xlfn.BASE(O61,2,8))-9=1,566,IF(LEN(_xlfn.BASE(O61,2,8))-9=2,1132,IF(LEN(_xlfn.BASE(O61,2,8))-9=3,2264)))))</f>
        <v>566</v>
      </c>
      <c r="P62" s="145">
        <f t="shared" ca="1" si="56"/>
        <v>243</v>
      </c>
      <c r="Q62" s="145">
        <f t="shared" ca="1" si="56"/>
        <v>566</v>
      </c>
      <c r="R62" s="145" t="str">
        <f t="shared" ca="1" si="38"/>
        <v>8,10,8,10</v>
      </c>
      <c r="S62" s="366" t="str">
        <f t="shared" ca="1" si="39"/>
        <v>11000010,1000110110,11110011,1000110110</v>
      </c>
      <c r="T62" s="366"/>
      <c r="U62" s="366"/>
      <c r="V62" s="3"/>
      <c r="W62" s="145" t="s">
        <v>72</v>
      </c>
      <c r="X62" s="145">
        <f ca="1">IF(LEN(_xlfn.BASE(X61,2,8))-9&lt;0,X61,IF(LEN(_xlfn.BASE(X61,2,8))-9=0,283,IF(LEN(_xlfn.BASE(X61,2,8))-9=1,566,IF(LEN(_xlfn.BASE(X61,2,8))-9=2,1132,IF(LEN(_xlfn.BASE(X61,2,8))-9=3,2264)))))</f>
        <v>194</v>
      </c>
      <c r="Y62" s="145">
        <f t="shared" ref="Y62:AA62" ca="1" si="57">IF(LEN(_xlfn.BASE(Y61,2,8))-9&lt;0,Y61,IF(LEN(_xlfn.BASE(Y61,2,8))-9=0,283,IF(LEN(_xlfn.BASE(Y61,2,8))-9=1,566,IF(LEN(_xlfn.BASE(Y61,2,8))-9=2,1132,IF(LEN(_xlfn.BASE(Y61,2,8))-9=3,2264)))))</f>
        <v>566</v>
      </c>
      <c r="Z62" s="145">
        <f t="shared" ca="1" si="57"/>
        <v>176</v>
      </c>
      <c r="AA62" s="145">
        <f t="shared" ca="1" si="57"/>
        <v>283</v>
      </c>
      <c r="AB62" s="145" t="str">
        <f t="shared" ref="AB62:AB65" ca="1" si="58">LEN(_xlfn.BASE(X62,2,8))&amp;","&amp;LEN(_xlfn.BASE(Y62,2,8))&amp;","&amp;LEN(_xlfn.BASE(Z62,2,8))&amp;","&amp;LEN(_xlfn.BASE(AA62,2,8))</f>
        <v>8,10,8,9</v>
      </c>
      <c r="AC62" s="366" t="str">
        <f t="shared" ca="1" si="46"/>
        <v>11000010,1000110110,10110000,100011011</v>
      </c>
      <c r="AD62" s="366"/>
      <c r="AE62" s="366"/>
      <c r="AF62" s="139"/>
      <c r="AG62" s="145" t="s">
        <v>72</v>
      </c>
      <c r="AH62" s="145">
        <f ca="1">IF(LEN(_xlfn.BASE(AH61,2,8))-9&lt;0,AH61,IF(LEN(_xlfn.BASE(AH61,2,8))-9=0,283,IF(LEN(_xlfn.BASE(AH61,2,8))-9=1,566,IF(LEN(_xlfn.BASE(AH61,2,8))-9=2,1132,IF(LEN(_xlfn.BASE(AH61,2,8))-9=3,2264)))))</f>
        <v>283</v>
      </c>
      <c r="AI62" s="145">
        <f t="shared" ref="AI62:AK62" ca="1" si="59">IF(LEN(_xlfn.BASE(AI61,2,8))-9&lt;0,AI61,IF(LEN(_xlfn.BASE(AI61,2,8))-9=0,283,IF(LEN(_xlfn.BASE(AI61,2,8))-9=1,566,IF(LEN(_xlfn.BASE(AI61,2,8))-9=2,1132,IF(LEN(_xlfn.BASE(AI61,2,8))-9=3,2264)))))</f>
        <v>56</v>
      </c>
      <c r="AJ62" s="145">
        <f t="shared" ca="1" si="59"/>
        <v>566</v>
      </c>
      <c r="AK62" s="145">
        <f t="shared" ca="1" si="59"/>
        <v>232</v>
      </c>
      <c r="AL62" s="145" t="str">
        <f t="shared" ref="AL62:AL65" ca="1" si="60">LEN(_xlfn.BASE(AH62,2,8))&amp;","&amp;LEN(_xlfn.BASE(AI62,2,8))&amp;","&amp;LEN(_xlfn.BASE(AJ62,2,8))&amp;","&amp;LEN(_xlfn.BASE(AK62,2,8))</f>
        <v>9,8,10,8</v>
      </c>
      <c r="AM62" s="366" t="str">
        <f t="shared" ca="1" si="49"/>
        <v>100011011,00111000,1000110110,11101000</v>
      </c>
      <c r="AN62" s="366"/>
      <c r="AO62" s="366"/>
      <c r="AP62" s="251"/>
    </row>
    <row r="63" spans="2:51" x14ac:dyDescent="0.25">
      <c r="B63" s="380"/>
      <c r="C63" s="139"/>
      <c r="D63" s="139">
        <f ca="1">IF(_xlfn.BITXOR(D61,D62)=0,D62,_xlfn.BITXOR(D61,D62))</f>
        <v>10</v>
      </c>
      <c r="E63" s="139">
        <f t="shared" ref="E63:G63" ca="1" si="61">IF(_xlfn.BITXOR(E61,E62)=0,E62,_xlfn.BITXOR(E61,E62))</f>
        <v>140</v>
      </c>
      <c r="F63" s="139">
        <f t="shared" ca="1" si="61"/>
        <v>219</v>
      </c>
      <c r="G63" s="139">
        <f t="shared" ca="1" si="61"/>
        <v>95</v>
      </c>
      <c r="H63" s="139" t="str">
        <f t="shared" ca="1" si="55"/>
        <v>8,8,8,8</v>
      </c>
      <c r="I63" s="339" t="str">
        <f t="shared" ca="1" si="42"/>
        <v>00001010,10001100,11011011,01011111</v>
      </c>
      <c r="J63" s="339"/>
      <c r="K63" s="339"/>
      <c r="L63" s="139"/>
      <c r="M63" s="139"/>
      <c r="N63" s="139">
        <f ca="1">IF(_xlfn.BITXOR(N61,N62)=0,N62,_xlfn.BITXOR(N61,N62))</f>
        <v>194</v>
      </c>
      <c r="O63" s="139">
        <f t="shared" ref="O63:Q63" ca="1" si="62">IF(_xlfn.BITXOR(O61,O62)=0,O62,_xlfn.BITXOR(O61,O62))</f>
        <v>442</v>
      </c>
      <c r="P63" s="139">
        <f t="shared" ca="1" si="62"/>
        <v>243</v>
      </c>
      <c r="Q63" s="139">
        <f t="shared" ca="1" si="62"/>
        <v>426</v>
      </c>
      <c r="R63" s="139" t="str">
        <f t="shared" ca="1" si="38"/>
        <v>8,9,8,9</v>
      </c>
      <c r="S63" s="339" t="str">
        <f t="shared" ca="1" si="39"/>
        <v>11000010,110111010,11110011,110101010</v>
      </c>
      <c r="T63" s="339"/>
      <c r="U63" s="339"/>
      <c r="V63" s="139"/>
      <c r="W63" s="139"/>
      <c r="X63" s="139">
        <f ca="1">IF(_xlfn.BITXOR(X61,X62)=0,X62,_xlfn.BITXOR(X61,X62))</f>
        <v>194</v>
      </c>
      <c r="Y63" s="139">
        <f t="shared" ref="Y63:AA63" ca="1" si="63">IF(_xlfn.BITXOR(Y61,Y62)=0,Y62,_xlfn.BITXOR(Y61,Y62))</f>
        <v>154</v>
      </c>
      <c r="Z63" s="139">
        <f t="shared" ca="1" si="63"/>
        <v>176</v>
      </c>
      <c r="AA63" s="139">
        <f t="shared" ca="1" si="63"/>
        <v>153</v>
      </c>
      <c r="AB63" s="139" t="str">
        <f t="shared" ca="1" si="58"/>
        <v>8,8,8,8</v>
      </c>
      <c r="AC63" s="339" t="str">
        <f t="shared" ca="1" si="46"/>
        <v>11000010,10011010,10110000,10011001</v>
      </c>
      <c r="AD63" s="339"/>
      <c r="AE63" s="339"/>
      <c r="AF63" s="139"/>
      <c r="AG63" s="139"/>
      <c r="AH63" s="139">
        <f ca="1">IF(_xlfn.BITXOR(AH61,AH62)=0,AH62,_xlfn.BITXOR(AH61,AH62))</f>
        <v>6</v>
      </c>
      <c r="AI63" s="139">
        <f t="shared" ref="AI63:AK63" ca="1" si="64">IF(_xlfn.BITXOR(AI61,AI62)=0,AI62,_xlfn.BITXOR(AI61,AI62))</f>
        <v>56</v>
      </c>
      <c r="AJ63" s="139">
        <f t="shared" ca="1" si="64"/>
        <v>237</v>
      </c>
      <c r="AK63" s="139">
        <f t="shared" ca="1" si="64"/>
        <v>232</v>
      </c>
      <c r="AL63" s="139" t="str">
        <f t="shared" ca="1" si="60"/>
        <v>8,8,8,8</v>
      </c>
      <c r="AM63" s="339" t="str">
        <f t="shared" ca="1" si="49"/>
        <v>00000110,00111000,11101101,11101000</v>
      </c>
      <c r="AN63" s="339"/>
      <c r="AO63" s="339"/>
      <c r="AP63" s="251"/>
    </row>
    <row r="64" spans="2:51" x14ac:dyDescent="0.25">
      <c r="B64" s="380"/>
      <c r="C64" s="93" t="s">
        <v>72</v>
      </c>
      <c r="D64" s="145">
        <f ca="1">IF(LEN(_xlfn.BASE(D63,2,8))-9&lt;0,D63,IF(LEN(_xlfn.BASE(D63,2,8))-9=0,283,IF(LEN(_xlfn.BASE(D63,2,8))-9=1,566,IF(LEN(_xlfn.BASE(D63,2,8))-9=2,1132,IF(LEN(_xlfn.BASE(D63,2,8))-9=3,2264)))))</f>
        <v>10</v>
      </c>
      <c r="E64" s="145">
        <f t="shared" ref="E64:G64" ca="1" si="65">IF(LEN(_xlfn.BASE(E63,2,8))-9&lt;0,E63,IF(LEN(_xlfn.BASE(E63,2,8))-9=0,283,IF(LEN(_xlfn.BASE(E63,2,8))-9=1,566,IF(LEN(_xlfn.BASE(E63,2,8))-9=2,1132,IF(LEN(_xlfn.BASE(E63,2,8))-9=3,2264)))))</f>
        <v>140</v>
      </c>
      <c r="F64" s="145">
        <f t="shared" ca="1" si="65"/>
        <v>219</v>
      </c>
      <c r="G64" s="145">
        <f t="shared" ca="1" si="65"/>
        <v>95</v>
      </c>
      <c r="H64" s="93" t="str">
        <f t="shared" ca="1" si="55"/>
        <v>8,8,8,8</v>
      </c>
      <c r="I64" s="366" t="str">
        <f t="shared" ca="1" si="42"/>
        <v>00001010,10001100,11011011,01011111</v>
      </c>
      <c r="J64" s="366"/>
      <c r="K64" s="366"/>
      <c r="L64" s="139"/>
      <c r="M64" s="93" t="s">
        <v>72</v>
      </c>
      <c r="N64" s="145">
        <f ca="1">IF(LEN(_xlfn.BASE(N63,2,8))-9&lt;0,N63,IF(LEN(_xlfn.BASE(N63,2,8))-9=0,283,IF(LEN(_xlfn.BASE(N63,2,8))-9=1,566,IF(LEN(_xlfn.BASE(N63,2,8))-9=2,1132,IF(LEN(_xlfn.BASE(N63,2,8))-9=3,2264)))))</f>
        <v>194</v>
      </c>
      <c r="O64" s="145">
        <f t="shared" ref="O64:Q64" ca="1" si="66">IF(LEN(_xlfn.BASE(O63,2,8))-9&lt;0,O63,IF(LEN(_xlfn.BASE(O63,2,8))-9=0,283,IF(LEN(_xlfn.BASE(O63,2,8))-9=1,566,IF(LEN(_xlfn.BASE(O63,2,8))-9=2,1132,IF(LEN(_xlfn.BASE(O63,2,8))-9=3,2264)))))</f>
        <v>283</v>
      </c>
      <c r="P64" s="145">
        <f t="shared" ca="1" si="66"/>
        <v>243</v>
      </c>
      <c r="Q64" s="145">
        <f t="shared" ca="1" si="66"/>
        <v>283</v>
      </c>
      <c r="R64" s="93" t="str">
        <f t="shared" ca="1" si="38"/>
        <v>8,9,8,9</v>
      </c>
      <c r="S64" s="366" t="str">
        <f t="shared" ca="1" si="39"/>
        <v>11000010,100011011,11110011,100011011</v>
      </c>
      <c r="T64" s="366"/>
      <c r="U64" s="366"/>
      <c r="V64" s="139"/>
      <c r="W64" s="93" t="s">
        <v>72</v>
      </c>
      <c r="X64" s="145">
        <f ca="1">IF(LEN(_xlfn.BASE(X63,2,8))-9&lt;0,X63,IF(LEN(_xlfn.BASE(X63,2,8))-9=0,283,IF(LEN(_xlfn.BASE(X63,2,8))-9=1,566,IF(LEN(_xlfn.BASE(X63,2,8))-9=2,1132,IF(LEN(_xlfn.BASE(X63,2,8))-9=3,2264)))))</f>
        <v>194</v>
      </c>
      <c r="Y64" s="145">
        <f t="shared" ref="Y64:AA64" ca="1" si="67">IF(LEN(_xlfn.BASE(Y63,2,8))-9&lt;0,Y63,IF(LEN(_xlfn.BASE(Y63,2,8))-9=0,283,IF(LEN(_xlfn.BASE(Y63,2,8))-9=1,566,IF(LEN(_xlfn.BASE(Y63,2,8))-9=2,1132,IF(LEN(_xlfn.BASE(Y63,2,8))-9=3,2264)))))</f>
        <v>154</v>
      </c>
      <c r="Z64" s="145">
        <f t="shared" ca="1" si="67"/>
        <v>176</v>
      </c>
      <c r="AA64" s="145">
        <f t="shared" ca="1" si="67"/>
        <v>153</v>
      </c>
      <c r="AB64" s="93" t="str">
        <f t="shared" ca="1" si="58"/>
        <v>8,8,8,8</v>
      </c>
      <c r="AC64" s="366" t="str">
        <f t="shared" ca="1" si="46"/>
        <v>11000010,10011010,10110000,10011001</v>
      </c>
      <c r="AD64" s="366"/>
      <c r="AE64" s="366"/>
      <c r="AF64" s="139"/>
      <c r="AG64" s="93" t="s">
        <v>72</v>
      </c>
      <c r="AH64" s="145">
        <f ca="1">IF(LEN(_xlfn.BASE(AH63,2,8))-9&lt;0,AH63,IF(LEN(_xlfn.BASE(AH63,2,8))-9=0,283,IF(LEN(_xlfn.BASE(AH63,2,8))-9=1,566,IF(LEN(_xlfn.BASE(AH63,2,8))-9=2,1132,IF(LEN(_xlfn.BASE(AH63,2,8))-9=3,2264)))))</f>
        <v>6</v>
      </c>
      <c r="AI64" s="145">
        <f t="shared" ref="AI64:AK64" ca="1" si="68">IF(LEN(_xlfn.BASE(AI63,2,8))-9&lt;0,AI63,IF(LEN(_xlfn.BASE(AI63,2,8))-9=0,283,IF(LEN(_xlfn.BASE(AI63,2,8))-9=1,566,IF(LEN(_xlfn.BASE(AI63,2,8))-9=2,1132,IF(LEN(_xlfn.BASE(AI63,2,8))-9=3,2264)))))</f>
        <v>56</v>
      </c>
      <c r="AJ64" s="145">
        <f t="shared" ca="1" si="68"/>
        <v>237</v>
      </c>
      <c r="AK64" s="145">
        <f t="shared" ca="1" si="68"/>
        <v>232</v>
      </c>
      <c r="AL64" s="93" t="str">
        <f t="shared" ca="1" si="60"/>
        <v>8,8,8,8</v>
      </c>
      <c r="AM64" s="366" t="str">
        <f t="shared" ca="1" si="49"/>
        <v>00000110,00111000,11101101,11101000</v>
      </c>
      <c r="AN64" s="366"/>
      <c r="AO64" s="366"/>
      <c r="AP64" s="251"/>
    </row>
    <row r="65" spans="2:51" x14ac:dyDescent="0.25">
      <c r="B65" s="380"/>
      <c r="C65" s="3"/>
      <c r="D65" s="139">
        <f ca="1">IF(_xlfn.BITXOR(D63,D64)=0,D64,_xlfn.BITXOR(D63,D64))</f>
        <v>10</v>
      </c>
      <c r="E65" s="139">
        <f t="shared" ref="E65:G65" ca="1" si="69">IF(_xlfn.BITXOR(E63,E64)=0,E64,_xlfn.BITXOR(E63,E64))</f>
        <v>140</v>
      </c>
      <c r="F65" s="139">
        <f t="shared" ca="1" si="69"/>
        <v>219</v>
      </c>
      <c r="G65" s="139">
        <f t="shared" ca="1" si="69"/>
        <v>95</v>
      </c>
      <c r="H65" s="139" t="str">
        <f t="shared" ca="1" si="55"/>
        <v>8,8,8,8</v>
      </c>
      <c r="I65" s="339" t="str">
        <f t="shared" ca="1" si="42"/>
        <v>00001010,10001100,11011011,01011111</v>
      </c>
      <c r="J65" s="339"/>
      <c r="K65" s="339"/>
      <c r="L65" s="139"/>
      <c r="M65" s="3"/>
      <c r="N65" s="139">
        <f ca="1">IF(_xlfn.BITXOR(N63,N64)=0,N64,_xlfn.BITXOR(N63,N64))</f>
        <v>194</v>
      </c>
      <c r="O65" s="139">
        <f t="shared" ref="O65:Q65" ca="1" si="70">IF(_xlfn.BITXOR(O63,O64)=0,O64,_xlfn.BITXOR(O63,O64))</f>
        <v>161</v>
      </c>
      <c r="P65" s="139">
        <f t="shared" ca="1" si="70"/>
        <v>243</v>
      </c>
      <c r="Q65" s="139">
        <f t="shared" ca="1" si="70"/>
        <v>177</v>
      </c>
      <c r="R65" s="139" t="str">
        <f t="shared" ca="1" si="38"/>
        <v>8,8,8,8</v>
      </c>
      <c r="S65" s="339" t="str">
        <f t="shared" ca="1" si="39"/>
        <v>11000010,10100001,11110011,10110001</v>
      </c>
      <c r="T65" s="339"/>
      <c r="U65" s="339"/>
      <c r="V65" s="139"/>
      <c r="W65" s="3"/>
      <c r="X65" s="139">
        <f ca="1">IF(_xlfn.BITXOR(X63,X64)=0,X64,_xlfn.BITXOR(X63,X64))</f>
        <v>194</v>
      </c>
      <c r="Y65" s="139">
        <f t="shared" ref="Y65:AA65" ca="1" si="71">IF(_xlfn.BITXOR(Y63,Y64)=0,Y64,_xlfn.BITXOR(Y63,Y64))</f>
        <v>154</v>
      </c>
      <c r="Z65" s="139">
        <f t="shared" ca="1" si="71"/>
        <v>176</v>
      </c>
      <c r="AA65" s="139">
        <f t="shared" ca="1" si="71"/>
        <v>153</v>
      </c>
      <c r="AB65" s="139" t="str">
        <f t="shared" ca="1" si="58"/>
        <v>8,8,8,8</v>
      </c>
      <c r="AC65" s="339" t="str">
        <f t="shared" ca="1" si="46"/>
        <v>11000010,10011010,10110000,10011001</v>
      </c>
      <c r="AD65" s="339"/>
      <c r="AE65" s="339"/>
      <c r="AF65" s="139"/>
      <c r="AG65" s="3"/>
      <c r="AH65" s="139">
        <f ca="1">IF(_xlfn.BITXOR(AH63,AH64)=0,AH64,_xlfn.BITXOR(AH63,AH64))</f>
        <v>6</v>
      </c>
      <c r="AI65" s="139">
        <f t="shared" ref="AI65:AK65" ca="1" si="72">IF(_xlfn.BITXOR(AI63,AI64)=0,AI64,_xlfn.BITXOR(AI63,AI64))</f>
        <v>56</v>
      </c>
      <c r="AJ65" s="139">
        <f t="shared" ca="1" si="72"/>
        <v>237</v>
      </c>
      <c r="AK65" s="139">
        <f t="shared" ca="1" si="72"/>
        <v>232</v>
      </c>
      <c r="AL65" s="139" t="str">
        <f t="shared" ca="1" si="60"/>
        <v>8,8,8,8</v>
      </c>
      <c r="AM65" s="339" t="str">
        <f t="shared" ca="1" si="49"/>
        <v>00000110,00111000,11101101,11101000</v>
      </c>
      <c r="AN65" s="339"/>
      <c r="AO65" s="339"/>
      <c r="AP65" s="251"/>
      <c r="AS65" s="361"/>
      <c r="AT65" s="361"/>
      <c r="AX65" s="361"/>
      <c r="AY65" s="361"/>
    </row>
    <row r="66" spans="2:51" x14ac:dyDescent="0.25">
      <c r="B66" s="253"/>
      <c r="C66" s="3"/>
      <c r="D66" s="370">
        <f ca="1">_xlfn.BITXOR(_xlfn.BITXOR(D65,E65),_xlfn.BITXOR(F65,G65))</f>
        <v>2</v>
      </c>
      <c r="E66" s="370"/>
      <c r="F66" s="370"/>
      <c r="G66" s="370"/>
      <c r="H66" s="321">
        <f ca="1">LEN(_xlfn.BASE(D66,2,8))</f>
        <v>8</v>
      </c>
      <c r="I66" s="370" t="str">
        <f ca="1">_xlfn.BASE(D66,2,8)</f>
        <v>00000010</v>
      </c>
      <c r="J66" s="370"/>
      <c r="K66" s="370"/>
      <c r="L66" s="320"/>
      <c r="M66" s="3"/>
      <c r="N66" s="370">
        <f ca="1">_xlfn.BITXOR(_xlfn.BITXOR(N65,O65),_xlfn.BITXOR(P65,Q65))</f>
        <v>33</v>
      </c>
      <c r="O66" s="370"/>
      <c r="P66" s="370"/>
      <c r="Q66" s="370"/>
      <c r="R66" s="321">
        <f ca="1">LEN(_xlfn.BASE(N66,2,8))</f>
        <v>8</v>
      </c>
      <c r="S66" s="370" t="str">
        <f ca="1">_xlfn.BASE(N66,2,8)</f>
        <v>00100001</v>
      </c>
      <c r="T66" s="370"/>
      <c r="U66" s="370"/>
      <c r="V66" s="320"/>
      <c r="W66" s="3"/>
      <c r="X66" s="370">
        <f ca="1">_xlfn.BITXOR(_xlfn.BITXOR(X65,Y65),_xlfn.BITXOR(Z65,AA65))</f>
        <v>113</v>
      </c>
      <c r="Y66" s="370"/>
      <c r="Z66" s="370"/>
      <c r="AA66" s="370"/>
      <c r="AB66" s="321">
        <f ca="1">LEN(_xlfn.BASE(X66,2,8))</f>
        <v>8</v>
      </c>
      <c r="AC66" s="370" t="str">
        <f ca="1">_xlfn.BASE(X66,2,8)</f>
        <v>01110001</v>
      </c>
      <c r="AD66" s="370"/>
      <c r="AE66" s="370"/>
      <c r="AF66" s="28"/>
      <c r="AG66" s="3"/>
      <c r="AH66" s="370">
        <f ca="1">_xlfn.BITXOR(_xlfn.BITXOR(AH65,AI65),_xlfn.BITXOR(AJ65,AK65))</f>
        <v>59</v>
      </c>
      <c r="AI66" s="370"/>
      <c r="AJ66" s="370"/>
      <c r="AK66" s="370"/>
      <c r="AL66" s="321">
        <f ca="1">LEN(_xlfn.BASE(AH66,2,8))</f>
        <v>8</v>
      </c>
      <c r="AM66" s="370" t="str">
        <f ca="1">_xlfn.BASE(AH66,2,8)</f>
        <v>00111011</v>
      </c>
      <c r="AN66" s="370"/>
      <c r="AO66" s="370"/>
      <c r="AP66" s="251"/>
    </row>
    <row r="67" spans="2:51" x14ac:dyDescent="0.25">
      <c r="B67" s="254"/>
      <c r="C67" s="3"/>
      <c r="D67" s="3"/>
      <c r="E67" s="28"/>
      <c r="F67" s="28"/>
      <c r="G67" s="3"/>
      <c r="H67" s="3"/>
      <c r="I67" s="3"/>
      <c r="J67" s="3"/>
      <c r="K67" s="3"/>
      <c r="L67" s="3"/>
      <c r="M67" s="3"/>
      <c r="N67" s="3"/>
      <c r="O67" s="28"/>
      <c r="P67" s="28"/>
      <c r="Q67" s="3"/>
      <c r="R67" s="3"/>
      <c r="S67" s="3"/>
      <c r="T67" s="3"/>
      <c r="U67" s="3"/>
      <c r="V67" s="3"/>
      <c r="W67" s="3"/>
      <c r="X67" s="3"/>
      <c r="Y67" s="28"/>
      <c r="Z67" s="28"/>
      <c r="AA67" s="3"/>
      <c r="AB67" s="3"/>
      <c r="AC67" s="3"/>
      <c r="AD67" s="3"/>
      <c r="AE67" s="3"/>
      <c r="AF67" s="3"/>
      <c r="AG67" s="3"/>
      <c r="AH67" s="3"/>
      <c r="AI67" s="3"/>
      <c r="AJ67" s="3"/>
      <c r="AK67" s="3"/>
      <c r="AL67" s="3"/>
      <c r="AM67" s="3"/>
      <c r="AN67" s="3"/>
      <c r="AO67" s="3"/>
      <c r="AP67" s="251"/>
      <c r="AQ67" s="28"/>
      <c r="AR67" s="28"/>
      <c r="AV67" s="28"/>
      <c r="AW67" s="28"/>
    </row>
    <row r="68" spans="2:51" x14ac:dyDescent="0.25">
      <c r="B68" s="254"/>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139"/>
      <c r="AF68" s="3"/>
      <c r="AG68" s="3"/>
      <c r="AH68" s="3"/>
      <c r="AI68" s="3"/>
      <c r="AJ68" s="3"/>
      <c r="AK68" s="3"/>
      <c r="AL68" s="3"/>
      <c r="AM68" s="3"/>
      <c r="AN68" s="3"/>
      <c r="AO68" s="3"/>
      <c r="AP68" s="251"/>
    </row>
    <row r="69" spans="2:51" x14ac:dyDescent="0.25">
      <c r="B69" s="254"/>
      <c r="C69" s="3"/>
      <c r="D69" s="339" t="s">
        <v>36</v>
      </c>
      <c r="E69" s="339"/>
      <c r="F69" s="339"/>
      <c r="G69" s="339"/>
      <c r="H69" s="139" t="s">
        <v>298</v>
      </c>
      <c r="I69" s="339" t="s">
        <v>256</v>
      </c>
      <c r="J69" s="339"/>
      <c r="K69" s="339"/>
      <c r="L69" s="3"/>
      <c r="M69" s="3"/>
      <c r="N69" s="339" t="s">
        <v>40</v>
      </c>
      <c r="O69" s="339"/>
      <c r="P69" s="339"/>
      <c r="Q69" s="339"/>
      <c r="R69" s="139" t="s">
        <v>298</v>
      </c>
      <c r="S69" s="339" t="s">
        <v>256</v>
      </c>
      <c r="T69" s="339"/>
      <c r="U69" s="339"/>
      <c r="V69" s="3"/>
      <c r="W69" s="3"/>
      <c r="X69" s="339" t="s">
        <v>28</v>
      </c>
      <c r="Y69" s="339"/>
      <c r="Z69" s="339"/>
      <c r="AA69" s="339"/>
      <c r="AB69" s="139" t="s">
        <v>298</v>
      </c>
      <c r="AC69" s="339" t="s">
        <v>256</v>
      </c>
      <c r="AD69" s="339"/>
      <c r="AE69" s="339"/>
      <c r="AF69" s="3"/>
      <c r="AG69" s="139"/>
      <c r="AH69" s="339" t="s">
        <v>32</v>
      </c>
      <c r="AI69" s="339"/>
      <c r="AJ69" s="339"/>
      <c r="AK69" s="339"/>
      <c r="AL69" s="139" t="s">
        <v>298</v>
      </c>
      <c r="AM69" s="339" t="s">
        <v>256</v>
      </c>
      <c r="AN69" s="339"/>
      <c r="AO69" s="339"/>
      <c r="AP69" s="251"/>
    </row>
    <row r="70" spans="2:51" x14ac:dyDescent="0.25">
      <c r="B70" s="380" t="s">
        <v>259</v>
      </c>
      <c r="C70" s="3"/>
      <c r="D70" s="139">
        <f ca="1">$E$36</f>
        <v>208</v>
      </c>
      <c r="E70" s="139">
        <f ca="1">$E$37</f>
        <v>26</v>
      </c>
      <c r="F70" s="139">
        <f ca="1">$E$38</f>
        <v>132</v>
      </c>
      <c r="G70" s="139">
        <f ca="1">$E$39</f>
        <v>52</v>
      </c>
      <c r="H70" s="139" t="str">
        <f ca="1">LEN(_xlfn.BASE(D70,2,8))&amp;","&amp;LEN(_xlfn.BASE(E70,2,8))&amp;","&amp;LEN(_xlfn.BASE(F70,2,8))&amp;","&amp;LEN(_xlfn.BASE(G70,2,8))</f>
        <v>8,8,8,8</v>
      </c>
      <c r="I70" s="339" t="str">
        <f ca="1">_xlfn.BASE(D70,2,8)&amp;","&amp;_xlfn.BASE(E70,2,8)&amp;","&amp;_xlfn.BASE(F70,2,8)&amp;","&amp;_xlfn.BASE(G70,2,8)</f>
        <v>11010000,00011010,10000100,00110100</v>
      </c>
      <c r="J70" s="339"/>
      <c r="K70" s="339"/>
      <c r="L70" s="3"/>
      <c r="M70" s="3"/>
      <c r="N70" s="139">
        <f ca="1">$I$36</f>
        <v>84</v>
      </c>
      <c r="O70" s="139">
        <f ca="1">$I$37</f>
        <v>144</v>
      </c>
      <c r="P70" s="139">
        <f ca="1">$I$38</f>
        <v>173</v>
      </c>
      <c r="Q70" s="139">
        <f ca="1">$I$39</f>
        <v>176</v>
      </c>
      <c r="R70" s="139" t="str">
        <f ca="1">LEN(_xlfn.BASE(N70,2,8))&amp;","&amp;LEN(_xlfn.BASE(O70,2,8))&amp;","&amp;LEN(_xlfn.BASE(P70,2,8))&amp;","&amp;LEN(_xlfn.BASE(Q70,2,8))</f>
        <v>8,8,8,8</v>
      </c>
      <c r="S70" s="339" t="str">
        <f ca="1">_xlfn.BASE(N70,2,8)&amp;","&amp;_xlfn.BASE(O70,2,8)&amp;","&amp;_xlfn.BASE(P70,2,8)&amp;","&amp;_xlfn.BASE(Q70,2,8)</f>
        <v>01010100,10010000,10101101,10110000</v>
      </c>
      <c r="T70" s="339"/>
      <c r="U70" s="339"/>
      <c r="V70" s="3"/>
      <c r="W70" s="3"/>
      <c r="X70" s="139">
        <f ca="1">$M$36</f>
        <v>84</v>
      </c>
      <c r="Y70" s="139">
        <f ca="1">$M$37</f>
        <v>160</v>
      </c>
      <c r="Z70" s="139">
        <f ca="1">$M$38</f>
        <v>16</v>
      </c>
      <c r="AA70" s="139">
        <f ca="1">$M$39</f>
        <v>198</v>
      </c>
      <c r="AB70" s="139" t="str">
        <f ca="1">LEN(_xlfn.BASE(X70,2,8))&amp;","&amp;LEN(_xlfn.BASE(Y70,2,8))&amp;","&amp;LEN(_xlfn.BASE(Z70,2,8))&amp;","&amp;LEN(_xlfn.BASE(AA70,2,8))</f>
        <v>8,8,8,8</v>
      </c>
      <c r="AC70" s="339" t="str">
        <f ca="1">_xlfn.BASE(X70,2,8)&amp;","&amp;_xlfn.BASE(Y70,2,8)&amp;","&amp;_xlfn.BASE(Z70,2,8)&amp;","&amp;_xlfn.BASE(AA70,2,8)</f>
        <v>01010100,10100000,00010000,11000110</v>
      </c>
      <c r="AD70" s="339"/>
      <c r="AE70" s="339"/>
      <c r="AF70" s="3"/>
      <c r="AG70" s="3"/>
      <c r="AH70" s="139">
        <f ca="1">$Q$36</f>
        <v>185</v>
      </c>
      <c r="AI70" s="139">
        <f ca="1">$Q$37</f>
        <v>4</v>
      </c>
      <c r="AJ70" s="139">
        <f ca="1">$Q$38</f>
        <v>245</v>
      </c>
      <c r="AK70" s="139">
        <f ca="1">$Q$39</f>
        <v>244</v>
      </c>
      <c r="AL70" s="139" t="str">
        <f ca="1">LEN(_xlfn.BASE(AH70,2,8))&amp;","&amp;LEN(_xlfn.BASE(AI70,2,8))&amp;","&amp;LEN(_xlfn.BASE(AJ70,2,8))&amp;","&amp;LEN(_xlfn.BASE(AK70,2,8))</f>
        <v>8,8,8,8</v>
      </c>
      <c r="AM70" s="339" t="str">
        <f ca="1">_xlfn.BASE(AH70,2,8)&amp;","&amp;_xlfn.BASE(AI70,2,8)&amp;","&amp;_xlfn.BASE(AJ70,2,8)&amp;","&amp;_xlfn.BASE(AK70,2,8)</f>
        <v>10111001,00000100,11110101,11110100</v>
      </c>
      <c r="AN70" s="339"/>
      <c r="AO70" s="339"/>
      <c r="AP70" s="251"/>
    </row>
    <row r="71" spans="2:51" x14ac:dyDescent="0.25">
      <c r="B71" s="380"/>
      <c r="C71" s="139" t="s">
        <v>312</v>
      </c>
      <c r="D71" s="145">
        <v>13</v>
      </c>
      <c r="E71" s="145">
        <v>9</v>
      </c>
      <c r="F71" s="145">
        <v>14</v>
      </c>
      <c r="G71" s="145">
        <v>11</v>
      </c>
      <c r="H71" s="323" t="str">
        <f>LEN(_xlfn.BASE(D71,2,4))&amp;","&amp;LEN(_xlfn.BASE(E71,2,4))&amp;","&amp;LEN(_xlfn.BASE(F71,2,4))&amp;","&amp;LEN(_xlfn.BASE(G71,2,4))</f>
        <v>4,4,4,4</v>
      </c>
      <c r="I71" s="366" t="str">
        <f>_xlfn.BASE(D71,2,4)&amp;","&amp;_xlfn.BASE(E71,2,4)&amp;","&amp;_xlfn.BASE(F71,2,4)&amp;","&amp;_xlfn.BASE(G71,2,4)</f>
        <v>1101,1001,1110,1011</v>
      </c>
      <c r="J71" s="366"/>
      <c r="K71" s="366"/>
      <c r="L71" s="3"/>
      <c r="M71" s="139" t="s">
        <v>312</v>
      </c>
      <c r="N71" s="145">
        <v>13</v>
      </c>
      <c r="O71" s="145">
        <v>9</v>
      </c>
      <c r="P71" s="145">
        <v>14</v>
      </c>
      <c r="Q71" s="145">
        <v>11</v>
      </c>
      <c r="R71" s="323" t="str">
        <f>LEN(_xlfn.BASE(N71,2,4))&amp;","&amp;LEN(_xlfn.BASE(O71,2,4))&amp;","&amp;LEN(_xlfn.BASE(P71,2,4))&amp;","&amp;LEN(_xlfn.BASE(Q71,2,4))</f>
        <v>4,4,4,4</v>
      </c>
      <c r="S71" s="366" t="str">
        <f>_xlfn.BASE(N71,2,4)&amp;","&amp;_xlfn.BASE(O71,2,4)&amp;","&amp;_xlfn.BASE(P71,2,4)&amp;","&amp;_xlfn.BASE(Q71,2,4)</f>
        <v>1101,1001,1110,1011</v>
      </c>
      <c r="T71" s="366"/>
      <c r="U71" s="366"/>
      <c r="V71" s="3"/>
      <c r="W71" s="139" t="s">
        <v>312</v>
      </c>
      <c r="X71" s="145">
        <v>13</v>
      </c>
      <c r="Y71" s="145">
        <v>9</v>
      </c>
      <c r="Z71" s="145">
        <v>14</v>
      </c>
      <c r="AA71" s="145">
        <v>11</v>
      </c>
      <c r="AB71" s="323" t="str">
        <f>LEN(_xlfn.BASE(X71,2,4))&amp;","&amp;LEN(_xlfn.BASE(Y71,2,4))&amp;","&amp;LEN(_xlfn.BASE(Z71,2,4))&amp;","&amp;LEN(_xlfn.BASE(AA71,2,4))</f>
        <v>4,4,4,4</v>
      </c>
      <c r="AC71" s="366" t="str">
        <f>_xlfn.BASE(X71,2,4)&amp;","&amp;_xlfn.BASE(Y71,2,4)&amp;","&amp;_xlfn.BASE(Z71,2,4)&amp;","&amp;_xlfn.BASE(AA71,2,4)</f>
        <v>1101,1001,1110,1011</v>
      </c>
      <c r="AD71" s="366"/>
      <c r="AE71" s="366"/>
      <c r="AF71" s="3"/>
      <c r="AG71" s="139" t="s">
        <v>312</v>
      </c>
      <c r="AH71" s="145">
        <v>13</v>
      </c>
      <c r="AI71" s="145">
        <v>9</v>
      </c>
      <c r="AJ71" s="145">
        <v>14</v>
      </c>
      <c r="AK71" s="145">
        <v>11</v>
      </c>
      <c r="AL71" s="323" t="str">
        <f>LEN(_xlfn.BASE(AH71,2,4))&amp;","&amp;LEN(_xlfn.BASE(AI71,2,4))&amp;","&amp;LEN(_xlfn.BASE(AJ71,2,4))&amp;","&amp;LEN(_xlfn.BASE(AK71,2,4))</f>
        <v>4,4,4,4</v>
      </c>
      <c r="AM71" s="366" t="str">
        <f>_xlfn.BASE(AH71,2,4)&amp;","&amp;_xlfn.BASE(AI71,2,4)&amp;","&amp;_xlfn.BASE(AJ71,2,4)&amp;","&amp;_xlfn.BASE(AK71,2,4)</f>
        <v>1101,1001,1110,1011</v>
      </c>
      <c r="AN71" s="366"/>
      <c r="AO71" s="366"/>
      <c r="AP71" s="251"/>
    </row>
    <row r="72" spans="2:51" x14ac:dyDescent="0.25">
      <c r="B72" s="380" t="s">
        <v>297</v>
      </c>
      <c r="C72" s="3"/>
      <c r="D72" s="139">
        <f ca="1">_xlfn.BITXOR(D70,_xlfn.BITXOR(4*D70,8*D70))</f>
        <v>1296</v>
      </c>
      <c r="E72" s="139">
        <f ca="1">_xlfn.BITXOR(E70,8*E70)</f>
        <v>202</v>
      </c>
      <c r="F72" s="139">
        <f ca="1">_xlfn.BITXOR(2*F70,_xlfn.BITXOR(4*F70,8*F70))</f>
        <v>1848</v>
      </c>
      <c r="G72" s="139">
        <f ca="1">_xlfn.BITXOR(G70,_xlfn.BITXOR(2*G70,8*G70))</f>
        <v>508</v>
      </c>
      <c r="H72" s="139" t="str">
        <f ca="1">LEN(_xlfn.BASE(D72,2,8))&amp;","&amp;LEN(_xlfn.BASE(E72,2,8))&amp;","&amp;LEN(_xlfn.BASE(F72,2,8))&amp;","&amp;LEN(_xlfn.BASE(G72,2,8))</f>
        <v>11,8,11,9</v>
      </c>
      <c r="I72" s="339" t="str">
        <f ca="1">_xlfn.BASE(D72,2,8)&amp;","&amp;_xlfn.BASE(E72,2,8)&amp;","&amp;_xlfn.BASE(F72,2,8)&amp;","&amp;_xlfn.BASE(G72,2,8)</f>
        <v>10100010000,11001010,11100111000,111111100</v>
      </c>
      <c r="J72" s="339"/>
      <c r="K72" s="339"/>
      <c r="L72" s="3"/>
      <c r="M72" s="3"/>
      <c r="N72" s="139">
        <f ca="1">_xlfn.BITXOR(N70,_xlfn.BITXOR(4*N70,8*N70))</f>
        <v>932</v>
      </c>
      <c r="O72" s="139">
        <f ca="1">_xlfn.BITXOR(O70,8*O70)</f>
        <v>1040</v>
      </c>
      <c r="P72" s="139">
        <f ca="1">_xlfn.BITXOR(2*P70,_xlfn.BITXOR(4*P70,8*P70))</f>
        <v>1670</v>
      </c>
      <c r="Q72" s="139">
        <f ca="1">_xlfn.BITXOR(Q70,_xlfn.BITXOR(2*Q70,8*Q70))</f>
        <v>1104</v>
      </c>
      <c r="R72" s="139" t="str">
        <f t="shared" ref="R72:R78" ca="1" si="73">LEN(_xlfn.BASE(N72,2,8))&amp;","&amp;LEN(_xlfn.BASE(O72,2,8))&amp;","&amp;LEN(_xlfn.BASE(P72,2,8))&amp;","&amp;LEN(_xlfn.BASE(Q72,2,8))</f>
        <v>10,11,11,11</v>
      </c>
      <c r="S72" s="339" t="str">
        <f t="shared" ref="S72:S78" ca="1" si="74">_xlfn.BASE(N72,2,8)&amp;","&amp;_xlfn.BASE(O72,2,8)&amp;","&amp;_xlfn.BASE(P72,2,8)&amp;","&amp;_xlfn.BASE(Q72,2,8)</f>
        <v>1110100100,10000010000,11010000110,10001010000</v>
      </c>
      <c r="T72" s="339"/>
      <c r="U72" s="339"/>
      <c r="V72" s="3"/>
      <c r="W72" s="3"/>
      <c r="X72" s="139">
        <f ca="1">_xlfn.BITXOR(X70,_xlfn.BITXOR(4*X70,8*X70))</f>
        <v>932</v>
      </c>
      <c r="Y72" s="139">
        <f ca="1">_xlfn.BITXOR(Y70,8*Y70)</f>
        <v>1440</v>
      </c>
      <c r="Z72" s="139">
        <f ca="1">_xlfn.BITXOR(2*Z70,_xlfn.BITXOR(4*Z70,8*Z70))</f>
        <v>224</v>
      </c>
      <c r="AA72" s="139">
        <f ca="1">_xlfn.BITXOR(AA70,_xlfn.BITXOR(2*AA70,8*AA70))</f>
        <v>1914</v>
      </c>
      <c r="AB72" s="139" t="str">
        <f ca="1">LEN(_xlfn.BASE(X72,2,8))&amp;","&amp;LEN(_xlfn.BASE(Y72,2,8))&amp;","&amp;LEN(_xlfn.BASE(Z72,2,8))&amp;","&amp;LEN(_xlfn.BASE(AA72,2,8))</f>
        <v>10,11,8,11</v>
      </c>
      <c r="AC72" s="339" t="str">
        <f ca="1">_xlfn.BASE(X72,2,8)&amp;","&amp;_xlfn.BASE(Y72,2,8)&amp;","&amp;_xlfn.BASE(Z72,2,8)&amp;","&amp;_xlfn.BASE(AA72,2,8)</f>
        <v>1110100100,10110100000,11100000,11101111010</v>
      </c>
      <c r="AD72" s="339"/>
      <c r="AE72" s="339"/>
      <c r="AF72" s="3"/>
      <c r="AG72" s="3"/>
      <c r="AH72" s="139">
        <f ca="1">_xlfn.BITXOR(AH70,_xlfn.BITXOR(4*AH70,8*AH70))</f>
        <v>1941</v>
      </c>
      <c r="AI72" s="139">
        <f ca="1">_xlfn.BITXOR(AI70,8*AI70)</f>
        <v>36</v>
      </c>
      <c r="AJ72" s="139">
        <f ca="1">_xlfn.BITXOR(2*AJ70,_xlfn.BITXOR(4*AJ70,8*AJ70))</f>
        <v>1430</v>
      </c>
      <c r="AK72" s="139">
        <f ca="1">_xlfn.BITXOR(AK70,_xlfn.BITXOR(2*AK70,8*AK70))</f>
        <v>1724</v>
      </c>
      <c r="AL72" s="139" t="str">
        <f ca="1">LEN(_xlfn.BASE(AH72,2,8))&amp;","&amp;LEN(_xlfn.BASE(AI72,2,8))&amp;","&amp;LEN(_xlfn.BASE(AJ72,2,8))&amp;","&amp;LEN(_xlfn.BASE(AK72,2,8))</f>
        <v>11,8,11,11</v>
      </c>
      <c r="AM72" s="339" t="str">
        <f ca="1">_xlfn.BASE(AH72,2,8)&amp;","&amp;_xlfn.BASE(AI72,2,8)&amp;","&amp;_xlfn.BASE(AJ72,2,8)&amp;","&amp;_xlfn.BASE(AK72,2,8)</f>
        <v>11110010101,00100100,10110010110,11010111100</v>
      </c>
      <c r="AN72" s="339"/>
      <c r="AO72" s="339"/>
      <c r="AP72" s="251"/>
    </row>
    <row r="73" spans="2:51" x14ac:dyDescent="0.25">
      <c r="B73" s="380"/>
      <c r="C73" s="145" t="s">
        <v>72</v>
      </c>
      <c r="D73" s="145">
        <f ca="1">IF(LEN(_xlfn.BASE(D72,2,8))-9&lt;0,D72,IF(LEN(_xlfn.BASE(D72,2,8))-9=0,283,IF(LEN(_xlfn.BASE(D72,2,8))-9=1,566,IF(LEN(_xlfn.BASE(D72,2,8))-9=2,1132,IF(LEN(_xlfn.BASE(D72,2,8))-9=3,2264)))))</f>
        <v>1132</v>
      </c>
      <c r="E73" s="145">
        <f t="shared" ref="E73:G73" ca="1" si="75">IF(LEN(_xlfn.BASE(E72,2,8))-9&lt;0,E72,IF(LEN(_xlfn.BASE(E72,2,8))-9=0,283,IF(LEN(_xlfn.BASE(E72,2,8))-9=1,566,IF(LEN(_xlfn.BASE(E72,2,8))-9=2,1132,IF(LEN(_xlfn.BASE(E72,2,8))-9=3,2264)))))</f>
        <v>202</v>
      </c>
      <c r="F73" s="145">
        <f t="shared" ca="1" si="75"/>
        <v>1132</v>
      </c>
      <c r="G73" s="145">
        <f t="shared" ca="1" si="75"/>
        <v>283</v>
      </c>
      <c r="H73" s="145" t="str">
        <f t="shared" ref="H73" ca="1" si="76">LEN(_xlfn.BASE(D73,2,8))&amp;","&amp;LEN(_xlfn.BASE(E73,2,8))&amp;","&amp;LEN(_xlfn.BASE(F73,2,8))&amp;","&amp;LEN(_xlfn.BASE(G73,2,8))</f>
        <v>11,8,11,9</v>
      </c>
      <c r="I73" s="366" t="str">
        <f t="shared" ref="I73:I78" ca="1" si="77">_xlfn.BASE(D73,2,8)&amp;","&amp;_xlfn.BASE(E73,2,8)&amp;","&amp;_xlfn.BASE(F73,2,8)&amp;","&amp;_xlfn.BASE(G73,2,8)</f>
        <v>10001101100,11001010,10001101100,100011011</v>
      </c>
      <c r="J73" s="366"/>
      <c r="K73" s="366"/>
      <c r="L73" s="3"/>
      <c r="M73" s="145" t="s">
        <v>72</v>
      </c>
      <c r="N73" s="145">
        <f ca="1">IF(LEN(_xlfn.BASE(N72,2,8))-9&lt;0,N72,IF(LEN(_xlfn.BASE(N72,2,8))-9=0,283,IF(LEN(_xlfn.BASE(N72,2,8))-9=1,566,IF(LEN(_xlfn.BASE(N72,2,8))-9=2,1132,IF(LEN(_xlfn.BASE(N72,2,8))-9=3,2264)))))</f>
        <v>566</v>
      </c>
      <c r="O73" s="145">
        <f t="shared" ref="O73:Q73" ca="1" si="78">IF(LEN(_xlfn.BASE(O72,2,8))-9&lt;0,O72,IF(LEN(_xlfn.BASE(O72,2,8))-9=0,283,IF(LEN(_xlfn.BASE(O72,2,8))-9=1,566,IF(LEN(_xlfn.BASE(O72,2,8))-9=2,1132,IF(LEN(_xlfn.BASE(O72,2,8))-9=3,2264)))))</f>
        <v>1132</v>
      </c>
      <c r="P73" s="145">
        <f t="shared" ca="1" si="78"/>
        <v>1132</v>
      </c>
      <c r="Q73" s="145">
        <f t="shared" ca="1" si="78"/>
        <v>1132</v>
      </c>
      <c r="R73" s="145" t="str">
        <f t="shared" ca="1" si="73"/>
        <v>10,11,11,11</v>
      </c>
      <c r="S73" s="366" t="str">
        <f t="shared" ca="1" si="74"/>
        <v>1000110110,10001101100,10001101100,10001101100</v>
      </c>
      <c r="T73" s="366"/>
      <c r="U73" s="366"/>
      <c r="V73" s="3"/>
      <c r="W73" s="145" t="s">
        <v>72</v>
      </c>
      <c r="X73" s="145">
        <f ca="1">IF(LEN(_xlfn.BASE(X72,2,8))-9&lt;0,X72,IF(LEN(_xlfn.BASE(X72,2,8))-9=0,283,IF(LEN(_xlfn.BASE(X72,2,8))-9=1,566,IF(LEN(_xlfn.BASE(X72,2,8))-9=2,1132,IF(LEN(_xlfn.BASE(X72,2,8))-9=3,2264)))))</f>
        <v>566</v>
      </c>
      <c r="Y73" s="145">
        <f t="shared" ref="Y73:AA73" ca="1" si="79">IF(LEN(_xlfn.BASE(Y72,2,8))-9&lt;0,Y72,IF(LEN(_xlfn.BASE(Y72,2,8))-9=0,283,IF(LEN(_xlfn.BASE(Y72,2,8))-9=1,566,IF(LEN(_xlfn.BASE(Y72,2,8))-9=2,1132,IF(LEN(_xlfn.BASE(Y72,2,8))-9=3,2264)))))</f>
        <v>1132</v>
      </c>
      <c r="Z73" s="145">
        <f t="shared" ca="1" si="79"/>
        <v>224</v>
      </c>
      <c r="AA73" s="145">
        <f t="shared" ca="1" si="79"/>
        <v>1132</v>
      </c>
      <c r="AB73" s="145" t="str">
        <f t="shared" ref="AB73" ca="1" si="80">LEN(_xlfn.BASE(X73,2,8))&amp;","&amp;LEN(_xlfn.BASE(Y73,2,8))&amp;","&amp;LEN(_xlfn.BASE(Z73,2,8))&amp;","&amp;LEN(_xlfn.BASE(AA73,2,8))</f>
        <v>10,11,8,11</v>
      </c>
      <c r="AC73" s="366" t="str">
        <f t="shared" ref="AC73:AC78" ca="1" si="81">_xlfn.BASE(X73,2,8)&amp;","&amp;_xlfn.BASE(Y73,2,8)&amp;","&amp;_xlfn.BASE(Z73,2,8)&amp;","&amp;_xlfn.BASE(AA73,2,8)</f>
        <v>1000110110,10001101100,11100000,10001101100</v>
      </c>
      <c r="AD73" s="366"/>
      <c r="AE73" s="366"/>
      <c r="AF73" s="3"/>
      <c r="AG73" s="145" t="s">
        <v>72</v>
      </c>
      <c r="AH73" s="145">
        <f ca="1">IF(LEN(_xlfn.BASE(AH72,2,8))-9&lt;0,AH72,IF(LEN(_xlfn.BASE(AH72,2,8))-9=0,283,IF(LEN(_xlfn.BASE(AH72,2,8))-9=1,566,IF(LEN(_xlfn.BASE(AH72,2,8))-9=2,1132,IF(LEN(_xlfn.BASE(AH72,2,8))-9=3,2264)))))</f>
        <v>1132</v>
      </c>
      <c r="AI73" s="145">
        <f t="shared" ref="AI73:AK73" ca="1" si="82">IF(LEN(_xlfn.BASE(AI72,2,8))-9&lt;0,AI72,IF(LEN(_xlfn.BASE(AI72,2,8))-9=0,283,IF(LEN(_xlfn.BASE(AI72,2,8))-9=1,566,IF(LEN(_xlfn.BASE(AI72,2,8))-9=2,1132,IF(LEN(_xlfn.BASE(AI72,2,8))-9=3,2264)))))</f>
        <v>36</v>
      </c>
      <c r="AJ73" s="145">
        <f t="shared" ca="1" si="82"/>
        <v>1132</v>
      </c>
      <c r="AK73" s="145">
        <f t="shared" ca="1" si="82"/>
        <v>1132</v>
      </c>
      <c r="AL73" s="145" t="str">
        <f t="shared" ref="AL73" ca="1" si="83">LEN(_xlfn.BASE(AH73,2,8))&amp;","&amp;LEN(_xlfn.BASE(AI73,2,8))&amp;","&amp;LEN(_xlfn.BASE(AJ73,2,8))&amp;","&amp;LEN(_xlfn.BASE(AK73,2,8))</f>
        <v>11,8,11,11</v>
      </c>
      <c r="AM73" s="366" t="str">
        <f t="shared" ref="AM73:AM78" ca="1" si="84">_xlfn.BASE(AH73,2,8)&amp;","&amp;_xlfn.BASE(AI73,2,8)&amp;","&amp;_xlfn.BASE(AJ73,2,8)&amp;","&amp;_xlfn.BASE(AK73,2,8)</f>
        <v>10001101100,00100100,10001101100,10001101100</v>
      </c>
      <c r="AN73" s="366"/>
      <c r="AO73" s="366"/>
      <c r="AP73" s="251"/>
    </row>
    <row r="74" spans="2:51" x14ac:dyDescent="0.25">
      <c r="B74" s="380"/>
      <c r="C74" s="139"/>
      <c r="D74" s="139">
        <f ca="1">IF(_xlfn.BITXOR(D72,D73)=0,D72,_xlfn.BITXOR(D72,D73))</f>
        <v>380</v>
      </c>
      <c r="E74" s="139">
        <f t="shared" ref="E74:G74" ca="1" si="85">IF(_xlfn.BITXOR(E72,E73)=0,E72,_xlfn.BITXOR(E72,E73))</f>
        <v>202</v>
      </c>
      <c r="F74" s="139">
        <f t="shared" ca="1" si="85"/>
        <v>852</v>
      </c>
      <c r="G74" s="139">
        <f t="shared" ca="1" si="85"/>
        <v>231</v>
      </c>
      <c r="H74" s="139" t="str">
        <f ca="1">LEN(_xlfn.BASE(D74,2,8))&amp;","&amp;LEN(_xlfn.BASE(E74,2,8))&amp;","&amp;LEN(_xlfn.BASE(F74,2,8))&amp;","&amp;LEN(_xlfn.BASE(G74,2,8))</f>
        <v>9,8,10,8</v>
      </c>
      <c r="I74" s="339" t="str">
        <f t="shared" ca="1" si="77"/>
        <v>101111100,11001010,1101010100,11100111</v>
      </c>
      <c r="J74" s="339"/>
      <c r="K74" s="339"/>
      <c r="L74" s="3"/>
      <c r="M74" s="139"/>
      <c r="N74" s="139">
        <f ca="1">IF(_xlfn.BITXOR(N72,N73)=0,N72,_xlfn.BITXOR(N72,N73))</f>
        <v>402</v>
      </c>
      <c r="O74" s="139">
        <f t="shared" ref="O74:Q74" ca="1" si="86">IF(_xlfn.BITXOR(O72,O73)=0,O72,_xlfn.BITXOR(O72,O73))</f>
        <v>124</v>
      </c>
      <c r="P74" s="139">
        <f t="shared" ca="1" si="86"/>
        <v>746</v>
      </c>
      <c r="Q74" s="139">
        <f t="shared" ca="1" si="86"/>
        <v>60</v>
      </c>
      <c r="R74" s="139" t="str">
        <f t="shared" ca="1" si="73"/>
        <v>9,8,10,8</v>
      </c>
      <c r="S74" s="339" t="str">
        <f t="shared" ca="1" si="74"/>
        <v>110010010,01111100,1011101010,00111100</v>
      </c>
      <c r="T74" s="339"/>
      <c r="U74" s="339"/>
      <c r="V74" s="3"/>
      <c r="W74" s="139"/>
      <c r="X74" s="139">
        <f ca="1">IF(_xlfn.BITXOR(X72,X73)=0,X72,_xlfn.BITXOR(X72,X73))</f>
        <v>402</v>
      </c>
      <c r="Y74" s="139">
        <f t="shared" ref="Y74:AA74" ca="1" si="87">IF(_xlfn.BITXOR(Y72,Y73)=0,Y72,_xlfn.BITXOR(Y72,Y73))</f>
        <v>460</v>
      </c>
      <c r="Z74" s="139">
        <f t="shared" ca="1" si="87"/>
        <v>224</v>
      </c>
      <c r="AA74" s="139">
        <f t="shared" ca="1" si="87"/>
        <v>790</v>
      </c>
      <c r="AB74" s="139" t="str">
        <f ca="1">LEN(_xlfn.BASE(X74,2,8))&amp;","&amp;LEN(_xlfn.BASE(Y74,2,8))&amp;","&amp;LEN(_xlfn.BASE(Z74,2,8))&amp;","&amp;LEN(_xlfn.BASE(AA74,2,8))</f>
        <v>9,9,8,10</v>
      </c>
      <c r="AC74" s="339" t="str">
        <f t="shared" ca="1" si="81"/>
        <v>110010010,111001100,11100000,1100010110</v>
      </c>
      <c r="AD74" s="339"/>
      <c r="AE74" s="339"/>
      <c r="AF74" s="3"/>
      <c r="AG74" s="139"/>
      <c r="AH74" s="139">
        <f ca="1">IF(_xlfn.BITXOR(AH72,AH73)=0,AH72,_xlfn.BITXOR(AH72,AH73))</f>
        <v>1017</v>
      </c>
      <c r="AI74" s="139">
        <f t="shared" ref="AI74:AK74" ca="1" si="88">IF(_xlfn.BITXOR(AI72,AI73)=0,AI72,_xlfn.BITXOR(AI72,AI73))</f>
        <v>36</v>
      </c>
      <c r="AJ74" s="139">
        <f t="shared" ca="1" si="88"/>
        <v>506</v>
      </c>
      <c r="AK74" s="139">
        <f t="shared" ca="1" si="88"/>
        <v>720</v>
      </c>
      <c r="AL74" s="139" t="str">
        <f ca="1">LEN(_xlfn.BASE(AH74,2,8))&amp;","&amp;LEN(_xlfn.BASE(AI74,2,8))&amp;","&amp;LEN(_xlfn.BASE(AJ74,2,8))&amp;","&amp;LEN(_xlfn.BASE(AK74,2,8))</f>
        <v>10,8,9,10</v>
      </c>
      <c r="AM74" s="339" t="str">
        <f t="shared" ca="1" si="84"/>
        <v>1111111001,00100100,111111010,1011010000</v>
      </c>
      <c r="AN74" s="339"/>
      <c r="AO74" s="339"/>
      <c r="AP74" s="251"/>
    </row>
    <row r="75" spans="2:51" x14ac:dyDescent="0.25">
      <c r="B75" s="380"/>
      <c r="C75" s="145" t="s">
        <v>72</v>
      </c>
      <c r="D75" s="145">
        <f ca="1">IF(LEN(_xlfn.BASE(D74,2,8))-9&lt;0,D74,IF(LEN(_xlfn.BASE(D74,2,8))-9=0,283,IF(LEN(_xlfn.BASE(D74,2,8))-9=1,566,IF(LEN(_xlfn.BASE(D74,2,8))-9=2,1132,IF(LEN(_xlfn.BASE(D74,2,8))-9=3,2264)))))</f>
        <v>283</v>
      </c>
      <c r="E75" s="145">
        <f t="shared" ref="E75:G75" ca="1" si="89">IF(LEN(_xlfn.BASE(E74,2,8))-9&lt;0,E74,IF(LEN(_xlfn.BASE(E74,2,8))-9=0,283,IF(LEN(_xlfn.BASE(E74,2,8))-9=1,566,IF(LEN(_xlfn.BASE(E74,2,8))-9=2,1132,IF(LEN(_xlfn.BASE(E74,2,8))-9=3,2264)))))</f>
        <v>202</v>
      </c>
      <c r="F75" s="145">
        <f t="shared" ca="1" si="89"/>
        <v>566</v>
      </c>
      <c r="G75" s="145">
        <f t="shared" ca="1" si="89"/>
        <v>231</v>
      </c>
      <c r="H75" s="145" t="str">
        <f t="shared" ref="H75:H78" ca="1" si="90">LEN(_xlfn.BASE(D75,2,8))&amp;","&amp;LEN(_xlfn.BASE(E75,2,8))&amp;","&amp;LEN(_xlfn.BASE(F75,2,8))&amp;","&amp;LEN(_xlfn.BASE(G75,2,8))</f>
        <v>9,8,10,8</v>
      </c>
      <c r="I75" s="366" t="str">
        <f t="shared" ca="1" si="77"/>
        <v>100011011,11001010,1000110110,11100111</v>
      </c>
      <c r="J75" s="366"/>
      <c r="K75" s="366"/>
      <c r="L75" s="3"/>
      <c r="M75" s="145" t="s">
        <v>72</v>
      </c>
      <c r="N75" s="145">
        <f ca="1">IF(LEN(_xlfn.BASE(N74,2,8))-9&lt;0,N74,IF(LEN(_xlfn.BASE(N74,2,8))-9=0,283,IF(LEN(_xlfn.BASE(N74,2,8))-9=1,566,IF(LEN(_xlfn.BASE(N74,2,8))-9=2,1132,IF(LEN(_xlfn.BASE(N74,2,8))-9=3,2264)))))</f>
        <v>283</v>
      </c>
      <c r="O75" s="145">
        <f t="shared" ref="O75:Q75" ca="1" si="91">IF(LEN(_xlfn.BASE(O74,2,8))-9&lt;0,O74,IF(LEN(_xlfn.BASE(O74,2,8))-9=0,283,IF(LEN(_xlfn.BASE(O74,2,8))-9=1,566,IF(LEN(_xlfn.BASE(O74,2,8))-9=2,1132,IF(LEN(_xlfn.BASE(O74,2,8))-9=3,2264)))))</f>
        <v>124</v>
      </c>
      <c r="P75" s="145">
        <f t="shared" ca="1" si="91"/>
        <v>566</v>
      </c>
      <c r="Q75" s="145">
        <f t="shared" ca="1" si="91"/>
        <v>60</v>
      </c>
      <c r="R75" s="145" t="str">
        <f t="shared" ca="1" si="73"/>
        <v>9,8,10,8</v>
      </c>
      <c r="S75" s="366" t="str">
        <f t="shared" ca="1" si="74"/>
        <v>100011011,01111100,1000110110,00111100</v>
      </c>
      <c r="T75" s="366"/>
      <c r="U75" s="366"/>
      <c r="V75" s="3"/>
      <c r="W75" s="145" t="s">
        <v>72</v>
      </c>
      <c r="X75" s="145">
        <f ca="1">IF(LEN(_xlfn.BASE(X74,2,8))-9&lt;0,X74,IF(LEN(_xlfn.BASE(X74,2,8))-9=0,283,IF(LEN(_xlfn.BASE(X74,2,8))-9=1,566,IF(LEN(_xlfn.BASE(X74,2,8))-9=2,1132,IF(LEN(_xlfn.BASE(X74,2,8))-9=3,2264)))))</f>
        <v>283</v>
      </c>
      <c r="Y75" s="145">
        <f t="shared" ref="Y75:AA75" ca="1" si="92">IF(LEN(_xlfn.BASE(Y74,2,8))-9&lt;0,Y74,IF(LEN(_xlfn.BASE(Y74,2,8))-9=0,283,IF(LEN(_xlfn.BASE(Y74,2,8))-9=1,566,IF(LEN(_xlfn.BASE(Y74,2,8))-9=2,1132,IF(LEN(_xlfn.BASE(Y74,2,8))-9=3,2264)))))</f>
        <v>283</v>
      </c>
      <c r="Z75" s="145">
        <f t="shared" ca="1" si="92"/>
        <v>224</v>
      </c>
      <c r="AA75" s="145">
        <f t="shared" ca="1" si="92"/>
        <v>566</v>
      </c>
      <c r="AB75" s="145" t="str">
        <f t="shared" ref="AB75:AB78" ca="1" si="93">LEN(_xlfn.BASE(X75,2,8))&amp;","&amp;LEN(_xlfn.BASE(Y75,2,8))&amp;","&amp;LEN(_xlfn.BASE(Z75,2,8))&amp;","&amp;LEN(_xlfn.BASE(AA75,2,8))</f>
        <v>9,9,8,10</v>
      </c>
      <c r="AC75" s="366" t="str">
        <f t="shared" ca="1" si="81"/>
        <v>100011011,100011011,11100000,1000110110</v>
      </c>
      <c r="AD75" s="366"/>
      <c r="AE75" s="366"/>
      <c r="AF75" s="3"/>
      <c r="AG75" s="145" t="s">
        <v>72</v>
      </c>
      <c r="AH75" s="145">
        <f ca="1">IF(LEN(_xlfn.BASE(AH74,2,8))-9&lt;0,AH74,IF(LEN(_xlfn.BASE(AH74,2,8))-9=0,283,IF(LEN(_xlfn.BASE(AH74,2,8))-9=1,566,IF(LEN(_xlfn.BASE(AH74,2,8))-9=2,1132,IF(LEN(_xlfn.BASE(AH74,2,8))-9=3,2264)))))</f>
        <v>566</v>
      </c>
      <c r="AI75" s="145">
        <f t="shared" ref="AI75:AK75" ca="1" si="94">IF(LEN(_xlfn.BASE(AI74,2,8))-9&lt;0,AI74,IF(LEN(_xlfn.BASE(AI74,2,8))-9=0,283,IF(LEN(_xlfn.BASE(AI74,2,8))-9=1,566,IF(LEN(_xlfn.BASE(AI74,2,8))-9=2,1132,IF(LEN(_xlfn.BASE(AI74,2,8))-9=3,2264)))))</f>
        <v>36</v>
      </c>
      <c r="AJ75" s="145">
        <f t="shared" ca="1" si="94"/>
        <v>283</v>
      </c>
      <c r="AK75" s="145">
        <f t="shared" ca="1" si="94"/>
        <v>566</v>
      </c>
      <c r="AL75" s="145" t="str">
        <f t="shared" ref="AL75:AL78" ca="1" si="95">LEN(_xlfn.BASE(AH75,2,8))&amp;","&amp;LEN(_xlfn.BASE(AI75,2,8))&amp;","&amp;LEN(_xlfn.BASE(AJ75,2,8))&amp;","&amp;LEN(_xlfn.BASE(AK75,2,8))</f>
        <v>10,8,9,10</v>
      </c>
      <c r="AM75" s="366" t="str">
        <f t="shared" ca="1" si="84"/>
        <v>1000110110,00100100,100011011,1000110110</v>
      </c>
      <c r="AN75" s="366"/>
      <c r="AO75" s="366"/>
      <c r="AP75" s="251"/>
    </row>
    <row r="76" spans="2:51" x14ac:dyDescent="0.25">
      <c r="B76" s="380"/>
      <c r="C76" s="139"/>
      <c r="D76" s="139">
        <f ca="1">IF(_xlfn.BITXOR(D74,D75)=0,D75,_xlfn.BITXOR(D74,D75))</f>
        <v>103</v>
      </c>
      <c r="E76" s="139">
        <f t="shared" ref="E76:G76" ca="1" si="96">IF(_xlfn.BITXOR(E74,E75)=0,E75,_xlfn.BITXOR(E74,E75))</f>
        <v>202</v>
      </c>
      <c r="F76" s="139">
        <f t="shared" ca="1" si="96"/>
        <v>354</v>
      </c>
      <c r="G76" s="139">
        <f t="shared" ca="1" si="96"/>
        <v>231</v>
      </c>
      <c r="H76" s="139" t="str">
        <f t="shared" ca="1" si="90"/>
        <v>8,8,9,8</v>
      </c>
      <c r="I76" s="339" t="str">
        <f t="shared" ca="1" si="77"/>
        <v>01100111,11001010,101100010,11100111</v>
      </c>
      <c r="J76" s="339"/>
      <c r="K76" s="339"/>
      <c r="L76" s="139"/>
      <c r="M76" s="139"/>
      <c r="N76" s="139">
        <f ca="1">IF(_xlfn.BITXOR(N74,N75)=0,N75,_xlfn.BITXOR(N74,N75))</f>
        <v>137</v>
      </c>
      <c r="O76" s="139">
        <f t="shared" ref="O76:Q76" ca="1" si="97">IF(_xlfn.BITXOR(O74,O75)=0,O75,_xlfn.BITXOR(O74,O75))</f>
        <v>124</v>
      </c>
      <c r="P76" s="139">
        <f t="shared" ca="1" si="97"/>
        <v>220</v>
      </c>
      <c r="Q76" s="139">
        <f t="shared" ca="1" si="97"/>
        <v>60</v>
      </c>
      <c r="R76" s="139" t="str">
        <f t="shared" ca="1" si="73"/>
        <v>8,8,8,8</v>
      </c>
      <c r="S76" s="339" t="str">
        <f t="shared" ca="1" si="74"/>
        <v>10001001,01111100,11011100,00111100</v>
      </c>
      <c r="T76" s="339"/>
      <c r="U76" s="339"/>
      <c r="V76" s="139"/>
      <c r="W76" s="139"/>
      <c r="X76" s="139">
        <f ca="1">IF(_xlfn.BITXOR(X74,X75)=0,X75,_xlfn.BITXOR(X74,X75))</f>
        <v>137</v>
      </c>
      <c r="Y76" s="139">
        <f t="shared" ref="Y76:AA76" ca="1" si="98">IF(_xlfn.BITXOR(Y74,Y75)=0,Y75,_xlfn.BITXOR(Y74,Y75))</f>
        <v>215</v>
      </c>
      <c r="Z76" s="139">
        <f t="shared" ca="1" si="98"/>
        <v>224</v>
      </c>
      <c r="AA76" s="139">
        <f t="shared" ca="1" si="98"/>
        <v>288</v>
      </c>
      <c r="AB76" s="139" t="str">
        <f t="shared" ca="1" si="93"/>
        <v>8,8,8,9</v>
      </c>
      <c r="AC76" s="339" t="str">
        <f t="shared" ca="1" si="81"/>
        <v>10001001,11010111,11100000,100100000</v>
      </c>
      <c r="AD76" s="339"/>
      <c r="AE76" s="339"/>
      <c r="AF76" s="3"/>
      <c r="AG76" s="139"/>
      <c r="AH76" s="139">
        <f ca="1">IF(_xlfn.BITXOR(AH74,AH75)=0,AH75,_xlfn.BITXOR(AH74,AH75))</f>
        <v>463</v>
      </c>
      <c r="AI76" s="139">
        <f t="shared" ref="AI76:AK76" ca="1" si="99">IF(_xlfn.BITXOR(AI74,AI75)=0,AI75,_xlfn.BITXOR(AI74,AI75))</f>
        <v>36</v>
      </c>
      <c r="AJ76" s="139">
        <f t="shared" ca="1" si="99"/>
        <v>225</v>
      </c>
      <c r="AK76" s="139">
        <f t="shared" ca="1" si="99"/>
        <v>230</v>
      </c>
      <c r="AL76" s="139" t="str">
        <f t="shared" ca="1" si="95"/>
        <v>9,8,8,8</v>
      </c>
      <c r="AM76" s="339" t="str">
        <f t="shared" ca="1" si="84"/>
        <v>111001111,00100100,11100001,11100110</v>
      </c>
      <c r="AN76" s="339"/>
      <c r="AO76" s="339"/>
      <c r="AP76" s="251"/>
    </row>
    <row r="77" spans="2:51" x14ac:dyDescent="0.25">
      <c r="B77" s="380"/>
      <c r="C77" s="93" t="s">
        <v>72</v>
      </c>
      <c r="D77" s="145">
        <f ca="1">IF(LEN(_xlfn.BASE(D76,2,8))-9&lt;0,D76,IF(LEN(_xlfn.BASE(D76,2,8))-9=0,283,IF(LEN(_xlfn.BASE(D76,2,8))-9=1,566,IF(LEN(_xlfn.BASE(D76,2,8))-9=2,1132,IF(LEN(_xlfn.BASE(D76,2,8))-9=3,2264)))))</f>
        <v>103</v>
      </c>
      <c r="E77" s="145">
        <f t="shared" ref="E77:G77" ca="1" si="100">IF(LEN(_xlfn.BASE(E76,2,8))-9&lt;0,E76,IF(LEN(_xlfn.BASE(E76,2,8))-9=0,283,IF(LEN(_xlfn.BASE(E76,2,8))-9=1,566,IF(LEN(_xlfn.BASE(E76,2,8))-9=2,1132,IF(LEN(_xlfn.BASE(E76,2,8))-9=3,2264)))))</f>
        <v>202</v>
      </c>
      <c r="F77" s="145">
        <f t="shared" ca="1" si="100"/>
        <v>283</v>
      </c>
      <c r="G77" s="145">
        <f t="shared" ca="1" si="100"/>
        <v>231</v>
      </c>
      <c r="H77" s="93" t="str">
        <f t="shared" ca="1" si="90"/>
        <v>8,8,9,8</v>
      </c>
      <c r="I77" s="366" t="str">
        <f t="shared" ca="1" si="77"/>
        <v>01100111,11001010,100011011,11100111</v>
      </c>
      <c r="J77" s="366"/>
      <c r="K77" s="366"/>
      <c r="L77" s="139"/>
      <c r="M77" s="93" t="s">
        <v>72</v>
      </c>
      <c r="N77" s="145">
        <f ca="1">IF(LEN(_xlfn.BASE(N76,2,8))-9&lt;0,N76,IF(LEN(_xlfn.BASE(N76,2,8))-9=0,283,IF(LEN(_xlfn.BASE(N76,2,8))-9=1,566,IF(LEN(_xlfn.BASE(N76,2,8))-9=2,1132,IF(LEN(_xlfn.BASE(N76,2,8))-9=3,2264)))))</f>
        <v>137</v>
      </c>
      <c r="O77" s="145">
        <f t="shared" ref="O77:Q77" ca="1" si="101">IF(LEN(_xlfn.BASE(O76,2,8))-9&lt;0,O76,IF(LEN(_xlfn.BASE(O76,2,8))-9=0,283,IF(LEN(_xlfn.BASE(O76,2,8))-9=1,566,IF(LEN(_xlfn.BASE(O76,2,8))-9=2,1132,IF(LEN(_xlfn.BASE(O76,2,8))-9=3,2264)))))</f>
        <v>124</v>
      </c>
      <c r="P77" s="145">
        <f t="shared" ca="1" si="101"/>
        <v>220</v>
      </c>
      <c r="Q77" s="145">
        <f t="shared" ca="1" si="101"/>
        <v>60</v>
      </c>
      <c r="R77" s="93" t="str">
        <f t="shared" ca="1" si="73"/>
        <v>8,8,8,8</v>
      </c>
      <c r="S77" s="366" t="str">
        <f t="shared" ca="1" si="74"/>
        <v>10001001,01111100,11011100,00111100</v>
      </c>
      <c r="T77" s="366"/>
      <c r="U77" s="366"/>
      <c r="V77" s="139"/>
      <c r="W77" s="93" t="s">
        <v>72</v>
      </c>
      <c r="X77" s="145">
        <f ca="1">IF(LEN(_xlfn.BASE(X76,2,8))-9&lt;0,X76,IF(LEN(_xlfn.BASE(X76,2,8))-9=0,283,IF(LEN(_xlfn.BASE(X76,2,8))-9=1,566,IF(LEN(_xlfn.BASE(X76,2,8))-9=2,1132,IF(LEN(_xlfn.BASE(X76,2,8))-9=3,2264)))))</f>
        <v>137</v>
      </c>
      <c r="Y77" s="145">
        <f t="shared" ref="Y77:AA77" ca="1" si="102">IF(LEN(_xlfn.BASE(Y76,2,8))-9&lt;0,Y76,IF(LEN(_xlfn.BASE(Y76,2,8))-9=0,283,IF(LEN(_xlfn.BASE(Y76,2,8))-9=1,566,IF(LEN(_xlfn.BASE(Y76,2,8))-9=2,1132,IF(LEN(_xlfn.BASE(Y76,2,8))-9=3,2264)))))</f>
        <v>215</v>
      </c>
      <c r="Z77" s="145">
        <f t="shared" ca="1" si="102"/>
        <v>224</v>
      </c>
      <c r="AA77" s="145">
        <f t="shared" ca="1" si="102"/>
        <v>283</v>
      </c>
      <c r="AB77" s="93" t="str">
        <f t="shared" ca="1" si="93"/>
        <v>8,8,8,9</v>
      </c>
      <c r="AC77" s="366" t="str">
        <f t="shared" ca="1" si="81"/>
        <v>10001001,11010111,11100000,100011011</v>
      </c>
      <c r="AD77" s="366"/>
      <c r="AE77" s="366"/>
      <c r="AF77" s="3"/>
      <c r="AG77" s="93" t="s">
        <v>72</v>
      </c>
      <c r="AH77" s="145">
        <f ca="1">IF(LEN(_xlfn.BASE(AH76,2,8))-9&lt;0,AH76,IF(LEN(_xlfn.BASE(AH76,2,8))-9=0,283,IF(LEN(_xlfn.BASE(AH76,2,8))-9=1,566,IF(LEN(_xlfn.BASE(AH76,2,8))-9=2,1132,IF(LEN(_xlfn.BASE(AH76,2,8))-9=3,2264)))))</f>
        <v>283</v>
      </c>
      <c r="AI77" s="145">
        <f t="shared" ref="AI77:AK77" ca="1" si="103">IF(LEN(_xlfn.BASE(AI76,2,8))-9&lt;0,AI76,IF(LEN(_xlfn.BASE(AI76,2,8))-9=0,283,IF(LEN(_xlfn.BASE(AI76,2,8))-9=1,566,IF(LEN(_xlfn.BASE(AI76,2,8))-9=2,1132,IF(LEN(_xlfn.BASE(AI76,2,8))-9=3,2264)))))</f>
        <v>36</v>
      </c>
      <c r="AJ77" s="145">
        <f t="shared" ca="1" si="103"/>
        <v>225</v>
      </c>
      <c r="AK77" s="145">
        <f t="shared" ca="1" si="103"/>
        <v>230</v>
      </c>
      <c r="AL77" s="93" t="str">
        <f t="shared" ca="1" si="95"/>
        <v>9,8,8,8</v>
      </c>
      <c r="AM77" s="366" t="str">
        <f t="shared" ca="1" si="84"/>
        <v>100011011,00100100,11100001,11100110</v>
      </c>
      <c r="AN77" s="366"/>
      <c r="AO77" s="366"/>
      <c r="AP77" s="251"/>
    </row>
    <row r="78" spans="2:51" x14ac:dyDescent="0.25">
      <c r="B78" s="380"/>
      <c r="C78" s="3"/>
      <c r="D78" s="139">
        <f ca="1">IF(_xlfn.BITXOR(D76,D77)=0,D77,_xlfn.BITXOR(D76,D77))</f>
        <v>103</v>
      </c>
      <c r="E78" s="139">
        <f t="shared" ref="E78:G78" ca="1" si="104">IF(_xlfn.BITXOR(E76,E77)=0,E77,_xlfn.BITXOR(E76,E77))</f>
        <v>202</v>
      </c>
      <c r="F78" s="139">
        <f t="shared" ca="1" si="104"/>
        <v>121</v>
      </c>
      <c r="G78" s="139">
        <f t="shared" ca="1" si="104"/>
        <v>231</v>
      </c>
      <c r="H78" s="139" t="str">
        <f t="shared" ca="1" si="90"/>
        <v>8,8,8,8</v>
      </c>
      <c r="I78" s="339" t="str">
        <f t="shared" ca="1" si="77"/>
        <v>01100111,11001010,01111001,11100111</v>
      </c>
      <c r="J78" s="339"/>
      <c r="K78" s="339"/>
      <c r="L78" s="139"/>
      <c r="M78" s="3"/>
      <c r="N78" s="139">
        <f ca="1">IF(_xlfn.BITXOR(N76,N77)=0,N77,_xlfn.BITXOR(N76,N77))</f>
        <v>137</v>
      </c>
      <c r="O78" s="139">
        <f t="shared" ref="O78:Q78" ca="1" si="105">IF(_xlfn.BITXOR(O76,O77)=0,O77,_xlfn.BITXOR(O76,O77))</f>
        <v>124</v>
      </c>
      <c r="P78" s="139">
        <f t="shared" ca="1" si="105"/>
        <v>220</v>
      </c>
      <c r="Q78" s="139">
        <f t="shared" ca="1" si="105"/>
        <v>60</v>
      </c>
      <c r="R78" s="139" t="str">
        <f t="shared" ca="1" si="73"/>
        <v>8,8,8,8</v>
      </c>
      <c r="S78" s="339" t="str">
        <f t="shared" ca="1" si="74"/>
        <v>10001001,01111100,11011100,00111100</v>
      </c>
      <c r="T78" s="339"/>
      <c r="U78" s="339"/>
      <c r="V78" s="139"/>
      <c r="W78" s="3"/>
      <c r="X78" s="139">
        <f ca="1">IF(_xlfn.BITXOR(X76,X77)=0,X77,_xlfn.BITXOR(X76,X77))</f>
        <v>137</v>
      </c>
      <c r="Y78" s="139">
        <f t="shared" ref="Y78:AA78" ca="1" si="106">IF(_xlfn.BITXOR(Y76,Y77)=0,Y77,_xlfn.BITXOR(Y76,Y77))</f>
        <v>215</v>
      </c>
      <c r="Z78" s="139">
        <f t="shared" ca="1" si="106"/>
        <v>224</v>
      </c>
      <c r="AA78" s="139">
        <f t="shared" ca="1" si="106"/>
        <v>59</v>
      </c>
      <c r="AB78" s="139" t="str">
        <f t="shared" ca="1" si="93"/>
        <v>8,8,8,8</v>
      </c>
      <c r="AC78" s="339" t="str">
        <f t="shared" ca="1" si="81"/>
        <v>10001001,11010111,11100000,00111011</v>
      </c>
      <c r="AD78" s="339"/>
      <c r="AE78" s="339"/>
      <c r="AF78" s="3"/>
      <c r="AG78" s="3"/>
      <c r="AH78" s="139">
        <f ca="1">IF(_xlfn.BITXOR(AH76,AH77)=0,AH77,_xlfn.BITXOR(AH76,AH77))</f>
        <v>212</v>
      </c>
      <c r="AI78" s="139">
        <f t="shared" ref="AI78:AK78" ca="1" si="107">IF(_xlfn.BITXOR(AI76,AI77)=0,AI77,_xlfn.BITXOR(AI76,AI77))</f>
        <v>36</v>
      </c>
      <c r="AJ78" s="139">
        <f t="shared" ca="1" si="107"/>
        <v>225</v>
      </c>
      <c r="AK78" s="139">
        <f t="shared" ca="1" si="107"/>
        <v>230</v>
      </c>
      <c r="AL78" s="139" t="str">
        <f t="shared" ca="1" si="95"/>
        <v>8,8,8,8</v>
      </c>
      <c r="AM78" s="339" t="str">
        <f t="shared" ca="1" si="84"/>
        <v>11010100,00100100,11100001,11100110</v>
      </c>
      <c r="AN78" s="339"/>
      <c r="AO78" s="339"/>
      <c r="AP78" s="251"/>
    </row>
    <row r="79" spans="2:51" x14ac:dyDescent="0.25">
      <c r="B79" s="250"/>
      <c r="C79" s="3"/>
      <c r="D79" s="370">
        <f ca="1">_xlfn.BITXOR(_xlfn.BITXOR(D78,E78),_xlfn.BITXOR(F78,G78))</f>
        <v>51</v>
      </c>
      <c r="E79" s="370"/>
      <c r="F79" s="370"/>
      <c r="G79" s="370"/>
      <c r="H79" s="321">
        <f ca="1">LEN(_xlfn.BASE(D79,2,8))</f>
        <v>8</v>
      </c>
      <c r="I79" s="370" t="str">
        <f ca="1">_xlfn.BASE(D79,2,8)</f>
        <v>00110011</v>
      </c>
      <c r="J79" s="370"/>
      <c r="K79" s="370"/>
      <c r="L79" s="320"/>
      <c r="M79" s="3"/>
      <c r="N79" s="370">
        <f ca="1">_xlfn.BITXOR(_xlfn.BITXOR(N78,O78),_xlfn.BITXOR(P78,Q78))</f>
        <v>21</v>
      </c>
      <c r="O79" s="370"/>
      <c r="P79" s="370"/>
      <c r="Q79" s="370"/>
      <c r="R79" s="321">
        <f ca="1">LEN(_xlfn.BASE(N79,2,8))</f>
        <v>8</v>
      </c>
      <c r="S79" s="370" t="str">
        <f ca="1">_xlfn.BASE(N79,2,8)</f>
        <v>00010101</v>
      </c>
      <c r="T79" s="370"/>
      <c r="U79" s="370"/>
      <c r="V79" s="320"/>
      <c r="W79" s="3"/>
      <c r="X79" s="370">
        <f ca="1">_xlfn.BITXOR(_xlfn.BITXOR(X78,Y78),_xlfn.BITXOR(Z78,AA78))</f>
        <v>133</v>
      </c>
      <c r="Y79" s="370"/>
      <c r="Z79" s="370"/>
      <c r="AA79" s="370"/>
      <c r="AB79" s="321">
        <f ca="1">LEN(_xlfn.BASE(X79,2,8))</f>
        <v>8</v>
      </c>
      <c r="AC79" s="370" t="str">
        <f ca="1">_xlfn.BASE(X79,2,8)</f>
        <v>10000101</v>
      </c>
      <c r="AD79" s="370"/>
      <c r="AE79" s="370"/>
      <c r="AF79" s="28"/>
      <c r="AG79" s="3"/>
      <c r="AH79" s="370">
        <f ca="1">_xlfn.BITXOR(_xlfn.BITXOR(AH78,AI78),_xlfn.BITXOR(AJ78,AK78))</f>
        <v>247</v>
      </c>
      <c r="AI79" s="370"/>
      <c r="AJ79" s="370"/>
      <c r="AK79" s="370"/>
      <c r="AL79" s="321">
        <f ca="1">LEN(_xlfn.BASE(AH79,2,8))</f>
        <v>8</v>
      </c>
      <c r="AM79" s="370" t="str">
        <f ca="1">_xlfn.BASE(AH79,2,8)</f>
        <v>11110111</v>
      </c>
      <c r="AN79" s="370"/>
      <c r="AO79" s="370"/>
      <c r="AP79" s="251"/>
    </row>
    <row r="80" spans="2:51" x14ac:dyDescent="0.25">
      <c r="B80" s="250"/>
      <c r="C80" s="3"/>
      <c r="D80" s="3"/>
      <c r="E80" s="28"/>
      <c r="F80" s="28"/>
      <c r="G80" s="3"/>
      <c r="H80" s="3"/>
      <c r="I80" s="3"/>
      <c r="J80" s="3"/>
      <c r="K80" s="3"/>
      <c r="L80" s="139"/>
      <c r="M80" s="3"/>
      <c r="N80" s="3"/>
      <c r="O80" s="28"/>
      <c r="P80" s="28"/>
      <c r="Q80" s="3"/>
      <c r="R80" s="3"/>
      <c r="S80" s="3"/>
      <c r="T80" s="3"/>
      <c r="U80" s="3"/>
      <c r="V80" s="139"/>
      <c r="W80" s="3"/>
      <c r="X80" s="3"/>
      <c r="Y80" s="28"/>
      <c r="Z80" s="28"/>
      <c r="AA80" s="3"/>
      <c r="AB80" s="3"/>
      <c r="AC80" s="3"/>
      <c r="AD80" s="3"/>
      <c r="AE80" s="3"/>
      <c r="AF80" s="3"/>
      <c r="AG80" s="3"/>
      <c r="AH80" s="3"/>
      <c r="AI80" s="28"/>
      <c r="AJ80" s="28"/>
      <c r="AK80" s="3"/>
      <c r="AL80" s="3"/>
      <c r="AM80" s="3"/>
      <c r="AN80" s="3"/>
      <c r="AO80" s="3"/>
      <c r="AP80" s="251"/>
    </row>
    <row r="81" spans="2:42" x14ac:dyDescent="0.25">
      <c r="B81" s="254"/>
      <c r="C81" s="3"/>
      <c r="D81" s="3"/>
      <c r="E81" s="3"/>
      <c r="F81" s="3"/>
      <c r="G81" s="3"/>
      <c r="H81" s="3"/>
      <c r="I81" s="3"/>
      <c r="J81" s="3"/>
      <c r="K81" s="3"/>
      <c r="L81" s="139"/>
      <c r="M81" s="3"/>
      <c r="N81" s="3"/>
      <c r="O81" s="3"/>
      <c r="P81" s="3"/>
      <c r="Q81" s="3"/>
      <c r="R81" s="3"/>
      <c r="S81" s="3"/>
      <c r="T81" s="3"/>
      <c r="U81" s="3"/>
      <c r="V81" s="139"/>
      <c r="W81" s="3"/>
      <c r="X81" s="3"/>
      <c r="Y81" s="3"/>
      <c r="Z81" s="3"/>
      <c r="AA81" s="3"/>
      <c r="AB81" s="3"/>
      <c r="AC81" s="3"/>
      <c r="AD81" s="3"/>
      <c r="AE81" s="3"/>
      <c r="AF81" s="3"/>
      <c r="AG81" s="3"/>
      <c r="AH81" s="3"/>
      <c r="AI81" s="3"/>
      <c r="AJ81" s="3"/>
      <c r="AK81" s="3"/>
      <c r="AL81" s="3"/>
      <c r="AM81" s="3"/>
      <c r="AN81" s="3"/>
      <c r="AO81" s="3"/>
      <c r="AP81" s="251"/>
    </row>
    <row r="82" spans="2:42" x14ac:dyDescent="0.25">
      <c r="B82" s="254"/>
      <c r="C82" s="3"/>
      <c r="D82" s="339" t="s">
        <v>41</v>
      </c>
      <c r="E82" s="339"/>
      <c r="F82" s="339"/>
      <c r="G82" s="339"/>
      <c r="H82" s="139" t="s">
        <v>298</v>
      </c>
      <c r="I82" s="339" t="s">
        <v>256</v>
      </c>
      <c r="J82" s="339"/>
      <c r="K82" s="339"/>
      <c r="L82" s="139"/>
      <c r="M82" s="3"/>
      <c r="N82" s="339" t="s">
        <v>29</v>
      </c>
      <c r="O82" s="339"/>
      <c r="P82" s="339"/>
      <c r="Q82" s="339"/>
      <c r="R82" s="139" t="s">
        <v>298</v>
      </c>
      <c r="S82" s="339" t="s">
        <v>256</v>
      </c>
      <c r="T82" s="339"/>
      <c r="U82" s="339"/>
      <c r="V82" s="139"/>
      <c r="W82" s="3"/>
      <c r="X82" s="339" t="s">
        <v>33</v>
      </c>
      <c r="Y82" s="339"/>
      <c r="Z82" s="339"/>
      <c r="AA82" s="339"/>
      <c r="AB82" s="139" t="s">
        <v>298</v>
      </c>
      <c r="AC82" s="339" t="s">
        <v>256</v>
      </c>
      <c r="AD82" s="339"/>
      <c r="AE82" s="339"/>
      <c r="AF82" s="3"/>
      <c r="AG82" s="139"/>
      <c r="AH82" s="339" t="s">
        <v>37</v>
      </c>
      <c r="AI82" s="339"/>
      <c r="AJ82" s="339"/>
      <c r="AK82" s="339"/>
      <c r="AL82" s="139" t="s">
        <v>298</v>
      </c>
      <c r="AM82" s="339" t="s">
        <v>256</v>
      </c>
      <c r="AN82" s="339"/>
      <c r="AO82" s="339"/>
      <c r="AP82" s="255"/>
    </row>
    <row r="83" spans="2:42" x14ac:dyDescent="0.25">
      <c r="B83" s="380" t="s">
        <v>259</v>
      </c>
      <c r="C83" s="3"/>
      <c r="D83" s="139">
        <f ca="1">$E$36</f>
        <v>208</v>
      </c>
      <c r="E83" s="139">
        <f ca="1">$E$37</f>
        <v>26</v>
      </c>
      <c r="F83" s="139">
        <f ca="1">$E$38</f>
        <v>132</v>
      </c>
      <c r="G83" s="139">
        <f ca="1">$E$39</f>
        <v>52</v>
      </c>
      <c r="H83" s="139" t="str">
        <f ca="1">LEN(_xlfn.BASE(D83,2,8))&amp;","&amp;LEN(_xlfn.BASE(E83,2,8))&amp;","&amp;LEN(_xlfn.BASE(F83,2,8))&amp;","&amp;LEN(_xlfn.BASE(G83,2,8))</f>
        <v>8,8,8,8</v>
      </c>
      <c r="I83" s="339" t="str">
        <f ca="1">_xlfn.BASE(D83,2,8)&amp;","&amp;_xlfn.BASE(E83,2,8)&amp;","&amp;_xlfn.BASE(F83,2,8)&amp;","&amp;_xlfn.BASE(G83,2,8)</f>
        <v>11010000,00011010,10000100,00110100</v>
      </c>
      <c r="J83" s="339"/>
      <c r="K83" s="339"/>
      <c r="L83" s="139"/>
      <c r="M83" s="3"/>
      <c r="N83" s="139">
        <f ca="1">$I$36</f>
        <v>84</v>
      </c>
      <c r="O83" s="139">
        <f ca="1">$I$37</f>
        <v>144</v>
      </c>
      <c r="P83" s="139">
        <f ca="1">$I$38</f>
        <v>173</v>
      </c>
      <c r="Q83" s="139">
        <f ca="1">$I$39</f>
        <v>176</v>
      </c>
      <c r="R83" s="139" t="str">
        <f ca="1">LEN(_xlfn.BASE(N83,2,8))&amp;","&amp;LEN(_xlfn.BASE(O83,2,8))&amp;","&amp;LEN(_xlfn.BASE(P83,2,8))&amp;","&amp;LEN(_xlfn.BASE(Q83,2,8))</f>
        <v>8,8,8,8</v>
      </c>
      <c r="S83" s="339" t="str">
        <f ca="1">_xlfn.BASE(N83,2,8)&amp;","&amp;_xlfn.BASE(O83,2,8)&amp;","&amp;_xlfn.BASE(P83,2,8)&amp;","&amp;_xlfn.BASE(Q83,2,8)</f>
        <v>01010100,10010000,10101101,10110000</v>
      </c>
      <c r="T83" s="339"/>
      <c r="U83" s="339"/>
      <c r="V83" s="139"/>
      <c r="W83" s="3"/>
      <c r="X83" s="139">
        <f ca="1">$M$36</f>
        <v>84</v>
      </c>
      <c r="Y83" s="139">
        <f ca="1">$M$37</f>
        <v>160</v>
      </c>
      <c r="Z83" s="139">
        <f ca="1">$M$38</f>
        <v>16</v>
      </c>
      <c r="AA83" s="139">
        <f ca="1">$M$39</f>
        <v>198</v>
      </c>
      <c r="AB83" s="139" t="str">
        <f ca="1">LEN(_xlfn.BASE(X83,2,8))&amp;","&amp;LEN(_xlfn.BASE(Y83,2,8))&amp;","&amp;LEN(_xlfn.BASE(Z83,2,8))&amp;","&amp;LEN(_xlfn.BASE(AA83,2,8))</f>
        <v>8,8,8,8</v>
      </c>
      <c r="AC83" s="339" t="str">
        <f ca="1">_xlfn.BASE(X83,2,8)&amp;","&amp;_xlfn.BASE(Y83,2,8)&amp;","&amp;_xlfn.BASE(Z83,2,8)&amp;","&amp;_xlfn.BASE(AA83,2,8)</f>
        <v>01010100,10100000,00010000,11000110</v>
      </c>
      <c r="AD83" s="339"/>
      <c r="AE83" s="339"/>
      <c r="AF83" s="3"/>
      <c r="AG83" s="3"/>
      <c r="AH83" s="139">
        <f ca="1">$Q$36</f>
        <v>185</v>
      </c>
      <c r="AI83" s="139">
        <f ca="1">$Q$37</f>
        <v>4</v>
      </c>
      <c r="AJ83" s="139">
        <f ca="1">$Q$38</f>
        <v>245</v>
      </c>
      <c r="AK83" s="139">
        <f ca="1">$Q$39</f>
        <v>244</v>
      </c>
      <c r="AL83" s="139" t="str">
        <f ca="1">LEN(_xlfn.BASE(AH83,2,8))&amp;","&amp;LEN(_xlfn.BASE(AI83,2,8))&amp;","&amp;LEN(_xlfn.BASE(AJ83,2,8))&amp;","&amp;LEN(_xlfn.BASE(AK83,2,8))</f>
        <v>8,8,8,8</v>
      </c>
      <c r="AM83" s="339" t="str">
        <f ca="1">_xlfn.BASE(AH83,2,8)&amp;","&amp;_xlfn.BASE(AI83,2,8)&amp;","&amp;_xlfn.BASE(AJ83,2,8)&amp;","&amp;_xlfn.BASE(AK83,2,8)</f>
        <v>10111001,00000100,11110101,11110100</v>
      </c>
      <c r="AN83" s="339"/>
      <c r="AO83" s="339"/>
      <c r="AP83" s="251"/>
    </row>
    <row r="84" spans="2:42" x14ac:dyDescent="0.25">
      <c r="B84" s="380"/>
      <c r="C84" s="139" t="s">
        <v>312</v>
      </c>
      <c r="D84" s="145">
        <v>11</v>
      </c>
      <c r="E84" s="145">
        <v>13</v>
      </c>
      <c r="F84" s="145">
        <v>9</v>
      </c>
      <c r="G84" s="145">
        <v>14</v>
      </c>
      <c r="H84" s="323" t="str">
        <f>LEN(_xlfn.BASE(D84,2,4))&amp;","&amp;LEN(_xlfn.BASE(E84,2,4))&amp;","&amp;LEN(_xlfn.BASE(F84,2,4))&amp;","&amp;LEN(_xlfn.BASE(G84,2,4))</f>
        <v>4,4,4,4</v>
      </c>
      <c r="I84" s="366" t="str">
        <f>_xlfn.BASE(D84,2,4)&amp;","&amp;_xlfn.BASE(E84,2,4)&amp;","&amp;_xlfn.BASE(F84,2,4)&amp;","&amp;_xlfn.BASE(G84,2,4)</f>
        <v>1011,1101,1001,1110</v>
      </c>
      <c r="J84" s="366"/>
      <c r="K84" s="366"/>
      <c r="L84" s="139"/>
      <c r="M84" s="139" t="s">
        <v>312</v>
      </c>
      <c r="N84" s="145">
        <v>11</v>
      </c>
      <c r="O84" s="145">
        <v>13</v>
      </c>
      <c r="P84" s="145">
        <v>9</v>
      </c>
      <c r="Q84" s="145">
        <v>14</v>
      </c>
      <c r="R84" s="323" t="str">
        <f>LEN(_xlfn.BASE(N84,2,4))&amp;","&amp;LEN(_xlfn.BASE(O84,2,4))&amp;","&amp;LEN(_xlfn.BASE(P84,2,4))&amp;","&amp;LEN(_xlfn.BASE(Q84,2,4))</f>
        <v>4,4,4,4</v>
      </c>
      <c r="S84" s="366" t="str">
        <f>_xlfn.BASE(N84,2,4)&amp;","&amp;_xlfn.BASE(O84,2,4)&amp;","&amp;_xlfn.BASE(P84,2,4)&amp;","&amp;_xlfn.BASE(Q84,2,4)</f>
        <v>1011,1101,1001,1110</v>
      </c>
      <c r="T84" s="366"/>
      <c r="U84" s="366"/>
      <c r="V84" s="139"/>
      <c r="W84" s="139" t="s">
        <v>312</v>
      </c>
      <c r="X84" s="145">
        <v>11</v>
      </c>
      <c r="Y84" s="145">
        <v>13</v>
      </c>
      <c r="Z84" s="145">
        <v>9</v>
      </c>
      <c r="AA84" s="145">
        <v>14</v>
      </c>
      <c r="AB84" s="323" t="str">
        <f>LEN(_xlfn.BASE(X84,2,4))&amp;","&amp;LEN(_xlfn.BASE(Y84,2,4))&amp;","&amp;LEN(_xlfn.BASE(Z84,2,4))&amp;","&amp;LEN(_xlfn.BASE(AA84,2,4))</f>
        <v>4,4,4,4</v>
      </c>
      <c r="AC84" s="366" t="str">
        <f>_xlfn.BASE(X84,2,4)&amp;","&amp;_xlfn.BASE(Y84,2,4)&amp;","&amp;_xlfn.BASE(Z84,2,4)&amp;","&amp;_xlfn.BASE(AA84,2,4)</f>
        <v>1011,1101,1001,1110</v>
      </c>
      <c r="AD84" s="366"/>
      <c r="AE84" s="366"/>
      <c r="AF84" s="3"/>
      <c r="AG84" s="139" t="s">
        <v>312</v>
      </c>
      <c r="AH84" s="145">
        <v>11</v>
      </c>
      <c r="AI84" s="145">
        <v>13</v>
      </c>
      <c r="AJ84" s="145">
        <v>9</v>
      </c>
      <c r="AK84" s="145">
        <v>14</v>
      </c>
      <c r="AL84" s="323" t="str">
        <f>LEN(_xlfn.BASE(AH84,2,4))&amp;","&amp;LEN(_xlfn.BASE(AI84,2,4))&amp;","&amp;LEN(_xlfn.BASE(AJ84,2,4))&amp;","&amp;LEN(_xlfn.BASE(AK84,2,4))</f>
        <v>4,4,4,4</v>
      </c>
      <c r="AM84" s="366" t="str">
        <f>_xlfn.BASE(AH84,2,4)&amp;","&amp;_xlfn.BASE(AI84,2,4)&amp;","&amp;_xlfn.BASE(AJ84,2,4)&amp;","&amp;_xlfn.BASE(AK84,2,4)</f>
        <v>1011,1101,1001,1110</v>
      </c>
      <c r="AN84" s="366"/>
      <c r="AO84" s="366"/>
      <c r="AP84" s="251"/>
    </row>
    <row r="85" spans="2:42" x14ac:dyDescent="0.25">
      <c r="B85" s="380" t="s">
        <v>297</v>
      </c>
      <c r="C85" s="3"/>
      <c r="D85" s="139">
        <f ca="1">_xlfn.BITXOR(D83,_xlfn.BITXOR(2*D83,8*D83))</f>
        <v>2032</v>
      </c>
      <c r="E85" s="139">
        <f ca="1">_xlfn.BITXOR(E83,_xlfn.BITXOR(4*E83,8*E83))</f>
        <v>162</v>
      </c>
      <c r="F85" s="139">
        <f ca="1">_xlfn.BITXOR(F83,8*F83)</f>
        <v>1188</v>
      </c>
      <c r="G85" s="139">
        <f ca="1">_xlfn.BITXOR(2*G83,_xlfn.BITXOR(4*G83,8*G83))</f>
        <v>280</v>
      </c>
      <c r="H85" s="139" t="str">
        <f ca="1">LEN(_xlfn.BASE(D85,2,8))&amp;","&amp;LEN(_xlfn.BASE(E85,2,8))&amp;","&amp;LEN(_xlfn.BASE(F85,2,8))&amp;","&amp;LEN(_xlfn.BASE(G85,2,8))</f>
        <v>11,8,11,9</v>
      </c>
      <c r="I85" s="339" t="str">
        <f ca="1">_xlfn.BASE(D85,2,8)&amp;","&amp;_xlfn.BASE(E85,2,8)&amp;","&amp;_xlfn.BASE(F85,2,8)&amp;","&amp;_xlfn.BASE(G85,2,8)</f>
        <v>11111110000,10100010,10010100100,100011000</v>
      </c>
      <c r="J85" s="339"/>
      <c r="K85" s="339"/>
      <c r="L85" s="139"/>
      <c r="M85" s="3"/>
      <c r="N85" s="139">
        <f ca="1">_xlfn.BITXOR(N83,_xlfn.BITXOR(2*N83,8*N83))</f>
        <v>604</v>
      </c>
      <c r="O85" s="139">
        <f ca="1">_xlfn.BITXOR(O83,_xlfn.BITXOR(4*O83,8*O83))</f>
        <v>1616</v>
      </c>
      <c r="P85" s="139">
        <f ca="1">_xlfn.BITXOR(P83,8*P83)</f>
        <v>1477</v>
      </c>
      <c r="Q85" s="139">
        <f ca="1">_xlfn.BITXOR(2*Q83,_xlfn.BITXOR(4*Q83,8*Q83))</f>
        <v>1568</v>
      </c>
      <c r="R85" s="139" t="str">
        <f t="shared" ref="R85:R91" ca="1" si="108">LEN(_xlfn.BASE(N85,2,8))&amp;","&amp;LEN(_xlfn.BASE(O85,2,8))&amp;","&amp;LEN(_xlfn.BASE(P85,2,8))&amp;","&amp;LEN(_xlfn.BASE(Q85,2,8))</f>
        <v>10,11,11,11</v>
      </c>
      <c r="S85" s="339" t="str">
        <f t="shared" ref="S85:S91" ca="1" si="109">_xlfn.BASE(N85,2,8)&amp;","&amp;_xlfn.BASE(O85,2,8)&amp;","&amp;_xlfn.BASE(P85,2,8)&amp;","&amp;_xlfn.BASE(Q85,2,8)</f>
        <v>1001011100,11001010000,10111000101,11000100000</v>
      </c>
      <c r="T85" s="339"/>
      <c r="U85" s="339"/>
      <c r="V85" s="139"/>
      <c r="W85" s="3"/>
      <c r="X85" s="139">
        <f ca="1">_xlfn.BITXOR(X83,_xlfn.BITXOR(2*X83,8*X83))</f>
        <v>604</v>
      </c>
      <c r="Y85" s="139">
        <f ca="1">_xlfn.BITXOR(Y83,_xlfn.BITXOR(4*Y83,8*Y83))</f>
        <v>1824</v>
      </c>
      <c r="Z85" s="139">
        <f ca="1">_xlfn.BITXOR(Z83,8*Z83)</f>
        <v>144</v>
      </c>
      <c r="AA85" s="139">
        <f ca="1">_xlfn.BITXOR(2*AA83,_xlfn.BITXOR(4*AA83,8*AA83))</f>
        <v>1188</v>
      </c>
      <c r="AB85" s="139" t="str">
        <f ca="1">LEN(_xlfn.BASE(X85,2,8))&amp;","&amp;LEN(_xlfn.BASE(Y85,2,8))&amp;","&amp;LEN(_xlfn.BASE(Z85,2,8))&amp;","&amp;LEN(_xlfn.BASE(AA85,2,8))</f>
        <v>10,11,8,11</v>
      </c>
      <c r="AC85" s="339" t="str">
        <f ca="1">_xlfn.BASE(X85,2,8)&amp;","&amp;_xlfn.BASE(Y85,2,8)&amp;","&amp;_xlfn.BASE(Z85,2,8)&amp;","&amp;_xlfn.BASE(AA85,2,8)</f>
        <v>1001011100,11100100000,10010000,10010100100</v>
      </c>
      <c r="AD85" s="339"/>
      <c r="AE85" s="339"/>
      <c r="AF85" s="3"/>
      <c r="AG85" s="3"/>
      <c r="AH85" s="139">
        <f ca="1">_xlfn.BITXOR(AH83,_xlfn.BITXOR(2*AH83,8*AH83))</f>
        <v>1027</v>
      </c>
      <c r="AI85" s="139">
        <f ca="1">_xlfn.BITXOR(AI83,_xlfn.BITXOR(4*AI83,8*AI83))</f>
        <v>52</v>
      </c>
      <c r="AJ85" s="139">
        <f ca="1">_xlfn.BITXOR(AJ83,8*AJ83)</f>
        <v>1885</v>
      </c>
      <c r="AK85" s="139">
        <f ca="1">_xlfn.BITXOR(2*AK83,_xlfn.BITXOR(4*AK83,8*AK83))</f>
        <v>1432</v>
      </c>
      <c r="AL85" s="139" t="str">
        <f ca="1">LEN(_xlfn.BASE(AH85,2,8))&amp;","&amp;LEN(_xlfn.BASE(AI85,2,8))&amp;","&amp;LEN(_xlfn.BASE(AJ85,2,8))&amp;","&amp;LEN(_xlfn.BASE(AK85,2,8))</f>
        <v>11,8,11,11</v>
      </c>
      <c r="AM85" s="339" t="str">
        <f ca="1">_xlfn.BASE(AH85,2,8)&amp;","&amp;_xlfn.BASE(AI85,2,8)&amp;","&amp;_xlfn.BASE(AJ85,2,8)&amp;","&amp;_xlfn.BASE(AK85,2,8)</f>
        <v>10000000011,00110100,11101011101,10110011000</v>
      </c>
      <c r="AN85" s="339"/>
      <c r="AO85" s="339"/>
      <c r="AP85" s="251"/>
    </row>
    <row r="86" spans="2:42" x14ac:dyDescent="0.25">
      <c r="B86" s="380"/>
      <c r="C86" s="145" t="s">
        <v>72</v>
      </c>
      <c r="D86" s="145">
        <f ca="1">IF(LEN(_xlfn.BASE(D85,2,8))-9&lt;0,D85,IF(LEN(_xlfn.BASE(D85,2,8))-9=0,283,IF(LEN(_xlfn.BASE(D85,2,8))-9=1,566,IF(LEN(_xlfn.BASE(D85,2,8))-9=2,1132,IF(LEN(_xlfn.BASE(D85,2,8))-9=3,2264)))))</f>
        <v>1132</v>
      </c>
      <c r="E86" s="145">
        <f t="shared" ref="E86" ca="1" si="110">IF(LEN(_xlfn.BASE(E85,2,8))-9&lt;0,E85,IF(LEN(_xlfn.BASE(E85,2,8))-9=0,283,IF(LEN(_xlfn.BASE(E85,2,8))-9=1,566,IF(LEN(_xlfn.BASE(E85,2,8))-9=2,1132,IF(LEN(_xlfn.BASE(E85,2,8))-9=3,2264)))))</f>
        <v>162</v>
      </c>
      <c r="F86" s="145">
        <f t="shared" ref="F86" ca="1" si="111">IF(LEN(_xlfn.BASE(F85,2,8))-9&lt;0,F85,IF(LEN(_xlfn.BASE(F85,2,8))-9=0,283,IF(LEN(_xlfn.BASE(F85,2,8))-9=1,566,IF(LEN(_xlfn.BASE(F85,2,8))-9=2,1132,IF(LEN(_xlfn.BASE(F85,2,8))-9=3,2264)))))</f>
        <v>1132</v>
      </c>
      <c r="G86" s="145">
        <f t="shared" ref="G86" ca="1" si="112">IF(LEN(_xlfn.BASE(G85,2,8))-9&lt;0,G85,IF(LEN(_xlfn.BASE(G85,2,8))-9=0,283,IF(LEN(_xlfn.BASE(G85,2,8))-9=1,566,IF(LEN(_xlfn.BASE(G85,2,8))-9=2,1132,IF(LEN(_xlfn.BASE(G85,2,8))-9=3,2264)))))</f>
        <v>283</v>
      </c>
      <c r="H86" s="145" t="str">
        <f t="shared" ref="H86" ca="1" si="113">LEN(_xlfn.BASE(D86,2,8))&amp;","&amp;LEN(_xlfn.BASE(E86,2,8))&amp;","&amp;LEN(_xlfn.BASE(F86,2,8))&amp;","&amp;LEN(_xlfn.BASE(G86,2,8))</f>
        <v>11,8,11,9</v>
      </c>
      <c r="I86" s="366" t="str">
        <f t="shared" ref="I86:I91" ca="1" si="114">_xlfn.BASE(D86,2,8)&amp;","&amp;_xlfn.BASE(E86,2,8)&amp;","&amp;_xlfn.BASE(F86,2,8)&amp;","&amp;_xlfn.BASE(G86,2,8)</f>
        <v>10001101100,10100010,10001101100,100011011</v>
      </c>
      <c r="J86" s="366"/>
      <c r="K86" s="366"/>
      <c r="L86" s="139"/>
      <c r="M86" s="145" t="s">
        <v>72</v>
      </c>
      <c r="N86" s="145">
        <f ca="1">IF(LEN(_xlfn.BASE(N85,2,8))-9&lt;0,N85,IF(LEN(_xlfn.BASE(N85,2,8))-9=0,283,IF(LEN(_xlfn.BASE(N85,2,8))-9=1,566,IF(LEN(_xlfn.BASE(N85,2,8))-9=2,1132,IF(LEN(_xlfn.BASE(N85,2,8))-9=3,2264)))))</f>
        <v>566</v>
      </c>
      <c r="O86" s="145">
        <f t="shared" ref="O86" ca="1" si="115">IF(LEN(_xlfn.BASE(O85,2,8))-9&lt;0,O85,IF(LEN(_xlfn.BASE(O85,2,8))-9=0,283,IF(LEN(_xlfn.BASE(O85,2,8))-9=1,566,IF(LEN(_xlfn.BASE(O85,2,8))-9=2,1132,IF(LEN(_xlfn.BASE(O85,2,8))-9=3,2264)))))</f>
        <v>1132</v>
      </c>
      <c r="P86" s="145">
        <f t="shared" ref="P86" ca="1" si="116">IF(LEN(_xlfn.BASE(P85,2,8))-9&lt;0,P85,IF(LEN(_xlfn.BASE(P85,2,8))-9=0,283,IF(LEN(_xlfn.BASE(P85,2,8))-9=1,566,IF(LEN(_xlfn.BASE(P85,2,8))-9=2,1132,IF(LEN(_xlfn.BASE(P85,2,8))-9=3,2264)))))</f>
        <v>1132</v>
      </c>
      <c r="Q86" s="145">
        <f t="shared" ref="Q86" ca="1" si="117">IF(LEN(_xlfn.BASE(Q85,2,8))-9&lt;0,Q85,IF(LEN(_xlfn.BASE(Q85,2,8))-9=0,283,IF(LEN(_xlfn.BASE(Q85,2,8))-9=1,566,IF(LEN(_xlfn.BASE(Q85,2,8))-9=2,1132,IF(LEN(_xlfn.BASE(Q85,2,8))-9=3,2264)))))</f>
        <v>1132</v>
      </c>
      <c r="R86" s="145" t="str">
        <f t="shared" ca="1" si="108"/>
        <v>10,11,11,11</v>
      </c>
      <c r="S86" s="366" t="str">
        <f t="shared" ca="1" si="109"/>
        <v>1000110110,10001101100,10001101100,10001101100</v>
      </c>
      <c r="T86" s="366"/>
      <c r="U86" s="366"/>
      <c r="V86" s="139"/>
      <c r="W86" s="145" t="s">
        <v>72</v>
      </c>
      <c r="X86" s="145">
        <f ca="1">IF(LEN(_xlfn.BASE(X85,2,8))-9&lt;0,X85,IF(LEN(_xlfn.BASE(X85,2,8))-9=0,283,IF(LEN(_xlfn.BASE(X85,2,8))-9=1,566,IF(LEN(_xlfn.BASE(X85,2,8))-9=2,1132,IF(LEN(_xlfn.BASE(X85,2,8))-9=3,2264)))))</f>
        <v>566</v>
      </c>
      <c r="Y86" s="145">
        <f t="shared" ref="Y86" ca="1" si="118">IF(LEN(_xlfn.BASE(Y85,2,8))-9&lt;0,Y85,IF(LEN(_xlfn.BASE(Y85,2,8))-9=0,283,IF(LEN(_xlfn.BASE(Y85,2,8))-9=1,566,IF(LEN(_xlfn.BASE(Y85,2,8))-9=2,1132,IF(LEN(_xlfn.BASE(Y85,2,8))-9=3,2264)))))</f>
        <v>1132</v>
      </c>
      <c r="Z86" s="145">
        <f t="shared" ref="Z86" ca="1" si="119">IF(LEN(_xlfn.BASE(Z85,2,8))-9&lt;0,Z85,IF(LEN(_xlfn.BASE(Z85,2,8))-9=0,283,IF(LEN(_xlfn.BASE(Z85,2,8))-9=1,566,IF(LEN(_xlfn.BASE(Z85,2,8))-9=2,1132,IF(LEN(_xlfn.BASE(Z85,2,8))-9=3,2264)))))</f>
        <v>144</v>
      </c>
      <c r="AA86" s="145">
        <f t="shared" ref="AA86" ca="1" si="120">IF(LEN(_xlfn.BASE(AA85,2,8))-9&lt;0,AA85,IF(LEN(_xlfn.BASE(AA85,2,8))-9=0,283,IF(LEN(_xlfn.BASE(AA85,2,8))-9=1,566,IF(LEN(_xlfn.BASE(AA85,2,8))-9=2,1132,IF(LEN(_xlfn.BASE(AA85,2,8))-9=3,2264)))))</f>
        <v>1132</v>
      </c>
      <c r="AB86" s="145" t="str">
        <f t="shared" ref="AB86" ca="1" si="121">LEN(_xlfn.BASE(X86,2,8))&amp;","&amp;LEN(_xlfn.BASE(Y86,2,8))&amp;","&amp;LEN(_xlfn.BASE(Z86,2,8))&amp;","&amp;LEN(_xlfn.BASE(AA86,2,8))</f>
        <v>10,11,8,11</v>
      </c>
      <c r="AC86" s="366" t="str">
        <f t="shared" ref="AC86:AC91" ca="1" si="122">_xlfn.BASE(X86,2,8)&amp;","&amp;_xlfn.BASE(Y86,2,8)&amp;","&amp;_xlfn.BASE(Z86,2,8)&amp;","&amp;_xlfn.BASE(AA86,2,8)</f>
        <v>1000110110,10001101100,10010000,10001101100</v>
      </c>
      <c r="AD86" s="366"/>
      <c r="AE86" s="366"/>
      <c r="AF86" s="3"/>
      <c r="AG86" s="145" t="s">
        <v>72</v>
      </c>
      <c r="AH86" s="145">
        <f ca="1">IF(LEN(_xlfn.BASE(AH85,2,8))-9&lt;0,AH85,IF(LEN(_xlfn.BASE(AH85,2,8))-9=0,283,IF(LEN(_xlfn.BASE(AH85,2,8))-9=1,566,IF(LEN(_xlfn.BASE(AH85,2,8))-9=2,1132,IF(LEN(_xlfn.BASE(AH85,2,8))-9=3,2264)))))</f>
        <v>1132</v>
      </c>
      <c r="AI86" s="145">
        <f t="shared" ref="AI86" ca="1" si="123">IF(LEN(_xlfn.BASE(AI85,2,8))-9&lt;0,AI85,IF(LEN(_xlfn.BASE(AI85,2,8))-9=0,283,IF(LEN(_xlfn.BASE(AI85,2,8))-9=1,566,IF(LEN(_xlfn.BASE(AI85,2,8))-9=2,1132,IF(LEN(_xlfn.BASE(AI85,2,8))-9=3,2264)))))</f>
        <v>52</v>
      </c>
      <c r="AJ86" s="145">
        <f t="shared" ref="AJ86" ca="1" si="124">IF(LEN(_xlfn.BASE(AJ85,2,8))-9&lt;0,AJ85,IF(LEN(_xlfn.BASE(AJ85,2,8))-9=0,283,IF(LEN(_xlfn.BASE(AJ85,2,8))-9=1,566,IF(LEN(_xlfn.BASE(AJ85,2,8))-9=2,1132,IF(LEN(_xlfn.BASE(AJ85,2,8))-9=3,2264)))))</f>
        <v>1132</v>
      </c>
      <c r="AK86" s="145">
        <f t="shared" ref="AK86" ca="1" si="125">IF(LEN(_xlfn.BASE(AK85,2,8))-9&lt;0,AK85,IF(LEN(_xlfn.BASE(AK85,2,8))-9=0,283,IF(LEN(_xlfn.BASE(AK85,2,8))-9=1,566,IF(LEN(_xlfn.BASE(AK85,2,8))-9=2,1132,IF(LEN(_xlfn.BASE(AK85,2,8))-9=3,2264)))))</f>
        <v>1132</v>
      </c>
      <c r="AL86" s="145" t="str">
        <f t="shared" ref="AL86" ca="1" si="126">LEN(_xlfn.BASE(AH86,2,8))&amp;","&amp;LEN(_xlfn.BASE(AI86,2,8))&amp;","&amp;LEN(_xlfn.BASE(AJ86,2,8))&amp;","&amp;LEN(_xlfn.BASE(AK86,2,8))</f>
        <v>11,8,11,11</v>
      </c>
      <c r="AM86" s="366" t="str">
        <f t="shared" ref="AM86:AM91" ca="1" si="127">_xlfn.BASE(AH86,2,8)&amp;","&amp;_xlfn.BASE(AI86,2,8)&amp;","&amp;_xlfn.BASE(AJ86,2,8)&amp;","&amp;_xlfn.BASE(AK86,2,8)</f>
        <v>10001101100,00110100,10001101100,10001101100</v>
      </c>
      <c r="AN86" s="366"/>
      <c r="AO86" s="366"/>
      <c r="AP86" s="251"/>
    </row>
    <row r="87" spans="2:42" x14ac:dyDescent="0.25">
      <c r="B87" s="380"/>
      <c r="C87" s="139"/>
      <c r="D87" s="139">
        <f ca="1">IF(_xlfn.BITXOR(D85,D86)=0,D85,_xlfn.BITXOR(D85,D86))</f>
        <v>924</v>
      </c>
      <c r="E87" s="139">
        <f t="shared" ref="E87:G87" ca="1" si="128">IF(_xlfn.BITXOR(E85,E86)=0,E85,_xlfn.BITXOR(E85,E86))</f>
        <v>162</v>
      </c>
      <c r="F87" s="139">
        <f t="shared" ca="1" si="128"/>
        <v>200</v>
      </c>
      <c r="G87" s="139">
        <f t="shared" ca="1" si="128"/>
        <v>3</v>
      </c>
      <c r="H87" s="139" t="str">
        <f ca="1">LEN(_xlfn.BASE(D87,2,8))&amp;","&amp;LEN(_xlfn.BASE(E87,2,8))&amp;","&amp;LEN(_xlfn.BASE(F87,2,8))&amp;","&amp;LEN(_xlfn.BASE(G87,2,8))</f>
        <v>10,8,8,8</v>
      </c>
      <c r="I87" s="339" t="str">
        <f t="shared" ca="1" si="114"/>
        <v>1110011100,10100010,11001000,00000011</v>
      </c>
      <c r="J87" s="339"/>
      <c r="K87" s="339"/>
      <c r="L87" s="139"/>
      <c r="M87" s="139"/>
      <c r="N87" s="139">
        <f ca="1">IF(_xlfn.BITXOR(N85,N86)=0,N85,_xlfn.BITXOR(N85,N86))</f>
        <v>106</v>
      </c>
      <c r="O87" s="139">
        <f t="shared" ref="O87:Q87" ca="1" si="129">IF(_xlfn.BITXOR(O85,O86)=0,O85,_xlfn.BITXOR(O85,O86))</f>
        <v>572</v>
      </c>
      <c r="P87" s="139">
        <f t="shared" ca="1" si="129"/>
        <v>425</v>
      </c>
      <c r="Q87" s="139">
        <f t="shared" ca="1" si="129"/>
        <v>588</v>
      </c>
      <c r="R87" s="139" t="str">
        <f t="shared" ca="1" si="108"/>
        <v>8,10,9,10</v>
      </c>
      <c r="S87" s="339" t="str">
        <f t="shared" ca="1" si="109"/>
        <v>01101010,1000111100,110101001,1001001100</v>
      </c>
      <c r="T87" s="339"/>
      <c r="U87" s="339"/>
      <c r="V87" s="139"/>
      <c r="W87" s="139"/>
      <c r="X87" s="139">
        <f ca="1">IF(_xlfn.BITXOR(X85,X86)=0,X85,_xlfn.BITXOR(X85,X86))</f>
        <v>106</v>
      </c>
      <c r="Y87" s="139">
        <f t="shared" ref="Y87:AA87" ca="1" si="130">IF(_xlfn.BITXOR(Y85,Y86)=0,Y85,_xlfn.BITXOR(Y85,Y86))</f>
        <v>844</v>
      </c>
      <c r="Z87" s="139">
        <f t="shared" ca="1" si="130"/>
        <v>144</v>
      </c>
      <c r="AA87" s="139">
        <f t="shared" ca="1" si="130"/>
        <v>200</v>
      </c>
      <c r="AB87" s="139" t="str">
        <f ca="1">LEN(_xlfn.BASE(X87,2,8))&amp;","&amp;LEN(_xlfn.BASE(Y87,2,8))&amp;","&amp;LEN(_xlfn.BASE(Z87,2,8))&amp;","&amp;LEN(_xlfn.BASE(AA87,2,8))</f>
        <v>8,10,8,8</v>
      </c>
      <c r="AC87" s="339" t="str">
        <f t="shared" ca="1" si="122"/>
        <v>01101010,1101001100,10010000,11001000</v>
      </c>
      <c r="AD87" s="339"/>
      <c r="AE87" s="339"/>
      <c r="AF87" s="3"/>
      <c r="AG87" s="139"/>
      <c r="AH87" s="139">
        <f ca="1">IF(_xlfn.BITXOR(AH85,AH86)=0,AH85,_xlfn.BITXOR(AH85,AH86))</f>
        <v>111</v>
      </c>
      <c r="AI87" s="139">
        <f t="shared" ref="AI87:AK87" ca="1" si="131">IF(_xlfn.BITXOR(AI85,AI86)=0,AI85,_xlfn.BITXOR(AI85,AI86))</f>
        <v>52</v>
      </c>
      <c r="AJ87" s="139">
        <f t="shared" ca="1" si="131"/>
        <v>817</v>
      </c>
      <c r="AK87" s="139">
        <f t="shared" ca="1" si="131"/>
        <v>500</v>
      </c>
      <c r="AL87" s="139" t="str">
        <f ca="1">LEN(_xlfn.BASE(AH87,2,8))&amp;","&amp;LEN(_xlfn.BASE(AI87,2,8))&amp;","&amp;LEN(_xlfn.BASE(AJ87,2,8))&amp;","&amp;LEN(_xlfn.BASE(AK87,2,8))</f>
        <v>8,8,10,9</v>
      </c>
      <c r="AM87" s="339" t="str">
        <f t="shared" ca="1" si="127"/>
        <v>01101111,00110100,1100110001,111110100</v>
      </c>
      <c r="AN87" s="339"/>
      <c r="AO87" s="339"/>
      <c r="AP87" s="251"/>
    </row>
    <row r="88" spans="2:42" x14ac:dyDescent="0.25">
      <c r="B88" s="380"/>
      <c r="C88" s="145" t="s">
        <v>72</v>
      </c>
      <c r="D88" s="145">
        <f ca="1">IF(LEN(_xlfn.BASE(D87,2,8))-9&lt;0,D87,IF(LEN(_xlfn.BASE(D87,2,8))-9=0,283,IF(LEN(_xlfn.BASE(D87,2,8))-9=1,566,IF(LEN(_xlfn.BASE(D87,2,8))-9=2,1132,IF(LEN(_xlfn.BASE(D87,2,8))-9=3,2264)))))</f>
        <v>566</v>
      </c>
      <c r="E88" s="145">
        <f t="shared" ref="E88" ca="1" si="132">IF(LEN(_xlfn.BASE(E87,2,8))-9&lt;0,E87,IF(LEN(_xlfn.BASE(E87,2,8))-9=0,283,IF(LEN(_xlfn.BASE(E87,2,8))-9=1,566,IF(LEN(_xlfn.BASE(E87,2,8))-9=2,1132,IF(LEN(_xlfn.BASE(E87,2,8))-9=3,2264)))))</f>
        <v>162</v>
      </c>
      <c r="F88" s="145">
        <f t="shared" ref="F88" ca="1" si="133">IF(LEN(_xlfn.BASE(F87,2,8))-9&lt;0,F87,IF(LEN(_xlfn.BASE(F87,2,8))-9=0,283,IF(LEN(_xlfn.BASE(F87,2,8))-9=1,566,IF(LEN(_xlfn.BASE(F87,2,8))-9=2,1132,IF(LEN(_xlfn.BASE(F87,2,8))-9=3,2264)))))</f>
        <v>200</v>
      </c>
      <c r="G88" s="145">
        <f t="shared" ref="G88" ca="1" si="134">IF(LEN(_xlfn.BASE(G87,2,8))-9&lt;0,G87,IF(LEN(_xlfn.BASE(G87,2,8))-9=0,283,IF(LEN(_xlfn.BASE(G87,2,8))-9=1,566,IF(LEN(_xlfn.BASE(G87,2,8))-9=2,1132,IF(LEN(_xlfn.BASE(G87,2,8))-9=3,2264)))))</f>
        <v>3</v>
      </c>
      <c r="H88" s="145" t="str">
        <f t="shared" ref="H88:H91" ca="1" si="135">LEN(_xlfn.BASE(D88,2,8))&amp;","&amp;LEN(_xlfn.BASE(E88,2,8))&amp;","&amp;LEN(_xlfn.BASE(F88,2,8))&amp;","&amp;LEN(_xlfn.BASE(G88,2,8))</f>
        <v>10,8,8,8</v>
      </c>
      <c r="I88" s="366" t="str">
        <f t="shared" ca="1" si="114"/>
        <v>1000110110,10100010,11001000,00000011</v>
      </c>
      <c r="J88" s="366"/>
      <c r="K88" s="366"/>
      <c r="L88" s="139"/>
      <c r="M88" s="145" t="s">
        <v>72</v>
      </c>
      <c r="N88" s="145">
        <f ca="1">IF(LEN(_xlfn.BASE(N87,2,8))-9&lt;0,N87,IF(LEN(_xlfn.BASE(N87,2,8))-9=0,283,IF(LEN(_xlfn.BASE(N87,2,8))-9=1,566,IF(LEN(_xlfn.BASE(N87,2,8))-9=2,1132,IF(LEN(_xlfn.BASE(N87,2,8))-9=3,2264)))))</f>
        <v>106</v>
      </c>
      <c r="O88" s="145">
        <f t="shared" ref="O88" ca="1" si="136">IF(LEN(_xlfn.BASE(O87,2,8))-9&lt;0,O87,IF(LEN(_xlfn.BASE(O87,2,8))-9=0,283,IF(LEN(_xlfn.BASE(O87,2,8))-9=1,566,IF(LEN(_xlfn.BASE(O87,2,8))-9=2,1132,IF(LEN(_xlfn.BASE(O87,2,8))-9=3,2264)))))</f>
        <v>566</v>
      </c>
      <c r="P88" s="145">
        <f t="shared" ref="P88" ca="1" si="137">IF(LEN(_xlfn.BASE(P87,2,8))-9&lt;0,P87,IF(LEN(_xlfn.BASE(P87,2,8))-9=0,283,IF(LEN(_xlfn.BASE(P87,2,8))-9=1,566,IF(LEN(_xlfn.BASE(P87,2,8))-9=2,1132,IF(LEN(_xlfn.BASE(P87,2,8))-9=3,2264)))))</f>
        <v>283</v>
      </c>
      <c r="Q88" s="145">
        <f t="shared" ref="Q88" ca="1" si="138">IF(LEN(_xlfn.BASE(Q87,2,8))-9&lt;0,Q87,IF(LEN(_xlfn.BASE(Q87,2,8))-9=0,283,IF(LEN(_xlfn.BASE(Q87,2,8))-9=1,566,IF(LEN(_xlfn.BASE(Q87,2,8))-9=2,1132,IF(LEN(_xlfn.BASE(Q87,2,8))-9=3,2264)))))</f>
        <v>566</v>
      </c>
      <c r="R88" s="145" t="str">
        <f t="shared" ca="1" si="108"/>
        <v>8,10,9,10</v>
      </c>
      <c r="S88" s="366" t="str">
        <f t="shared" ca="1" si="109"/>
        <v>01101010,1000110110,100011011,1000110110</v>
      </c>
      <c r="T88" s="366"/>
      <c r="U88" s="366"/>
      <c r="V88" s="139"/>
      <c r="W88" s="145" t="s">
        <v>72</v>
      </c>
      <c r="X88" s="145">
        <f ca="1">IF(LEN(_xlfn.BASE(X87,2,8))-9&lt;0,X87,IF(LEN(_xlfn.BASE(X87,2,8))-9=0,283,IF(LEN(_xlfn.BASE(X87,2,8))-9=1,566,IF(LEN(_xlfn.BASE(X87,2,8))-9=2,1132,IF(LEN(_xlfn.BASE(X87,2,8))-9=3,2264)))))</f>
        <v>106</v>
      </c>
      <c r="Y88" s="145">
        <f t="shared" ref="Y88" ca="1" si="139">IF(LEN(_xlfn.BASE(Y87,2,8))-9&lt;0,Y87,IF(LEN(_xlfn.BASE(Y87,2,8))-9=0,283,IF(LEN(_xlfn.BASE(Y87,2,8))-9=1,566,IF(LEN(_xlfn.BASE(Y87,2,8))-9=2,1132,IF(LEN(_xlfn.BASE(Y87,2,8))-9=3,2264)))))</f>
        <v>566</v>
      </c>
      <c r="Z88" s="145">
        <f t="shared" ref="Z88" ca="1" si="140">IF(LEN(_xlfn.BASE(Z87,2,8))-9&lt;0,Z87,IF(LEN(_xlfn.BASE(Z87,2,8))-9=0,283,IF(LEN(_xlfn.BASE(Z87,2,8))-9=1,566,IF(LEN(_xlfn.BASE(Z87,2,8))-9=2,1132,IF(LEN(_xlfn.BASE(Z87,2,8))-9=3,2264)))))</f>
        <v>144</v>
      </c>
      <c r="AA88" s="145">
        <f t="shared" ref="AA88" ca="1" si="141">IF(LEN(_xlfn.BASE(AA87,2,8))-9&lt;0,AA87,IF(LEN(_xlfn.BASE(AA87,2,8))-9=0,283,IF(LEN(_xlfn.BASE(AA87,2,8))-9=1,566,IF(LEN(_xlfn.BASE(AA87,2,8))-9=2,1132,IF(LEN(_xlfn.BASE(AA87,2,8))-9=3,2264)))))</f>
        <v>200</v>
      </c>
      <c r="AB88" s="145" t="str">
        <f t="shared" ref="AB88:AB91" ca="1" si="142">LEN(_xlfn.BASE(X88,2,8))&amp;","&amp;LEN(_xlfn.BASE(Y88,2,8))&amp;","&amp;LEN(_xlfn.BASE(Z88,2,8))&amp;","&amp;LEN(_xlfn.BASE(AA88,2,8))</f>
        <v>8,10,8,8</v>
      </c>
      <c r="AC88" s="366" t="str">
        <f t="shared" ca="1" si="122"/>
        <v>01101010,1000110110,10010000,11001000</v>
      </c>
      <c r="AD88" s="366"/>
      <c r="AE88" s="366"/>
      <c r="AF88" s="3"/>
      <c r="AG88" s="145" t="s">
        <v>72</v>
      </c>
      <c r="AH88" s="145">
        <f ca="1">IF(LEN(_xlfn.BASE(AH87,2,8))-9&lt;0,AH87,IF(LEN(_xlfn.BASE(AH87,2,8))-9=0,283,IF(LEN(_xlfn.BASE(AH87,2,8))-9=1,566,IF(LEN(_xlfn.BASE(AH87,2,8))-9=2,1132,IF(LEN(_xlfn.BASE(AH87,2,8))-9=3,2264)))))</f>
        <v>111</v>
      </c>
      <c r="AI88" s="145">
        <f t="shared" ref="AI88" ca="1" si="143">IF(LEN(_xlfn.BASE(AI87,2,8))-9&lt;0,AI87,IF(LEN(_xlfn.BASE(AI87,2,8))-9=0,283,IF(LEN(_xlfn.BASE(AI87,2,8))-9=1,566,IF(LEN(_xlfn.BASE(AI87,2,8))-9=2,1132,IF(LEN(_xlfn.BASE(AI87,2,8))-9=3,2264)))))</f>
        <v>52</v>
      </c>
      <c r="AJ88" s="145">
        <f t="shared" ref="AJ88" ca="1" si="144">IF(LEN(_xlfn.BASE(AJ87,2,8))-9&lt;0,AJ87,IF(LEN(_xlfn.BASE(AJ87,2,8))-9=0,283,IF(LEN(_xlfn.BASE(AJ87,2,8))-9=1,566,IF(LEN(_xlfn.BASE(AJ87,2,8))-9=2,1132,IF(LEN(_xlfn.BASE(AJ87,2,8))-9=3,2264)))))</f>
        <v>566</v>
      </c>
      <c r="AK88" s="145">
        <f t="shared" ref="AK88" ca="1" si="145">IF(LEN(_xlfn.BASE(AK87,2,8))-9&lt;0,AK87,IF(LEN(_xlfn.BASE(AK87,2,8))-9=0,283,IF(LEN(_xlfn.BASE(AK87,2,8))-9=1,566,IF(LEN(_xlfn.BASE(AK87,2,8))-9=2,1132,IF(LEN(_xlfn.BASE(AK87,2,8))-9=3,2264)))))</f>
        <v>283</v>
      </c>
      <c r="AL88" s="145" t="str">
        <f t="shared" ref="AL88:AL91" ca="1" si="146">LEN(_xlfn.BASE(AH88,2,8))&amp;","&amp;LEN(_xlfn.BASE(AI88,2,8))&amp;","&amp;LEN(_xlfn.BASE(AJ88,2,8))&amp;","&amp;LEN(_xlfn.BASE(AK88,2,8))</f>
        <v>8,8,10,9</v>
      </c>
      <c r="AM88" s="366" t="str">
        <f t="shared" ca="1" si="127"/>
        <v>01101111,00110100,1000110110,100011011</v>
      </c>
      <c r="AN88" s="366"/>
      <c r="AO88" s="366"/>
      <c r="AP88" s="251"/>
    </row>
    <row r="89" spans="2:42" x14ac:dyDescent="0.25">
      <c r="B89" s="380"/>
      <c r="C89" s="139"/>
      <c r="D89" s="139">
        <f ca="1">IF(_xlfn.BITXOR(D87,D88)=0,D88,_xlfn.BITXOR(D87,D88))</f>
        <v>426</v>
      </c>
      <c r="E89" s="139">
        <f t="shared" ref="E89:G89" ca="1" si="147">IF(_xlfn.BITXOR(E87,E88)=0,E88,_xlfn.BITXOR(E87,E88))</f>
        <v>162</v>
      </c>
      <c r="F89" s="139">
        <f t="shared" ca="1" si="147"/>
        <v>200</v>
      </c>
      <c r="G89" s="139">
        <f t="shared" ca="1" si="147"/>
        <v>3</v>
      </c>
      <c r="H89" s="139" t="str">
        <f t="shared" ca="1" si="135"/>
        <v>9,8,8,8</v>
      </c>
      <c r="I89" s="339" t="str">
        <f t="shared" ca="1" si="114"/>
        <v>110101010,10100010,11001000,00000011</v>
      </c>
      <c r="J89" s="339"/>
      <c r="K89" s="339"/>
      <c r="L89" s="139"/>
      <c r="M89" s="139"/>
      <c r="N89" s="139">
        <f ca="1">IF(_xlfn.BITXOR(N87,N88)=0,N88,_xlfn.BITXOR(N87,N88))</f>
        <v>106</v>
      </c>
      <c r="O89" s="139">
        <f t="shared" ref="O89:Q89" ca="1" si="148">IF(_xlfn.BITXOR(O87,O88)=0,O88,_xlfn.BITXOR(O87,O88))</f>
        <v>10</v>
      </c>
      <c r="P89" s="139">
        <f t="shared" ca="1" si="148"/>
        <v>178</v>
      </c>
      <c r="Q89" s="139">
        <f t="shared" ca="1" si="148"/>
        <v>122</v>
      </c>
      <c r="R89" s="139" t="str">
        <f t="shared" ca="1" si="108"/>
        <v>8,8,8,8</v>
      </c>
      <c r="S89" s="339" t="str">
        <f t="shared" ca="1" si="109"/>
        <v>01101010,00001010,10110010,01111010</v>
      </c>
      <c r="T89" s="339"/>
      <c r="U89" s="339"/>
      <c r="V89" s="139"/>
      <c r="W89" s="139"/>
      <c r="X89" s="139">
        <f ca="1">IF(_xlfn.BITXOR(X87,X88)=0,X88,_xlfn.BITXOR(X87,X88))</f>
        <v>106</v>
      </c>
      <c r="Y89" s="139">
        <f t="shared" ref="Y89:AA89" ca="1" si="149">IF(_xlfn.BITXOR(Y87,Y88)=0,Y88,_xlfn.BITXOR(Y87,Y88))</f>
        <v>378</v>
      </c>
      <c r="Z89" s="139">
        <f t="shared" ca="1" si="149"/>
        <v>144</v>
      </c>
      <c r="AA89" s="139">
        <f t="shared" ca="1" si="149"/>
        <v>200</v>
      </c>
      <c r="AB89" s="139" t="str">
        <f t="shared" ca="1" si="142"/>
        <v>8,9,8,8</v>
      </c>
      <c r="AC89" s="339" t="str">
        <f t="shared" ca="1" si="122"/>
        <v>01101010,101111010,10010000,11001000</v>
      </c>
      <c r="AD89" s="339"/>
      <c r="AE89" s="339"/>
      <c r="AF89" s="3"/>
      <c r="AG89" s="139"/>
      <c r="AH89" s="139">
        <f ca="1">IF(_xlfn.BITXOR(AH87,AH88)=0,AH88,_xlfn.BITXOR(AH87,AH88))</f>
        <v>111</v>
      </c>
      <c r="AI89" s="139">
        <f t="shared" ref="AI89:AK89" ca="1" si="150">IF(_xlfn.BITXOR(AI87,AI88)=0,AI88,_xlfn.BITXOR(AI87,AI88))</f>
        <v>52</v>
      </c>
      <c r="AJ89" s="139">
        <f t="shared" ca="1" si="150"/>
        <v>263</v>
      </c>
      <c r="AK89" s="139">
        <f t="shared" ca="1" si="150"/>
        <v>239</v>
      </c>
      <c r="AL89" s="139" t="str">
        <f t="shared" ca="1" si="146"/>
        <v>8,8,9,8</v>
      </c>
      <c r="AM89" s="339" t="str">
        <f t="shared" ca="1" si="127"/>
        <v>01101111,00110100,100000111,11101111</v>
      </c>
      <c r="AN89" s="339"/>
      <c r="AO89" s="339"/>
      <c r="AP89" s="251"/>
    </row>
    <row r="90" spans="2:42" x14ac:dyDescent="0.25">
      <c r="B90" s="380"/>
      <c r="C90" s="93" t="s">
        <v>72</v>
      </c>
      <c r="D90" s="145">
        <f ca="1">IF(LEN(_xlfn.BASE(D89,2,8))-9&lt;0,D89,IF(LEN(_xlfn.BASE(D89,2,8))-9=0,283,IF(LEN(_xlfn.BASE(D89,2,8))-9=1,566,IF(LEN(_xlfn.BASE(D89,2,8))-9=2,1132,IF(LEN(_xlfn.BASE(D89,2,8))-9=3,2264)))))</f>
        <v>283</v>
      </c>
      <c r="E90" s="145">
        <f t="shared" ref="E90" ca="1" si="151">IF(LEN(_xlfn.BASE(E89,2,8))-9&lt;0,E89,IF(LEN(_xlfn.BASE(E89,2,8))-9=0,283,IF(LEN(_xlfn.BASE(E89,2,8))-9=1,566,IF(LEN(_xlfn.BASE(E89,2,8))-9=2,1132,IF(LEN(_xlfn.BASE(E89,2,8))-9=3,2264)))))</f>
        <v>162</v>
      </c>
      <c r="F90" s="145">
        <f t="shared" ref="F90" ca="1" si="152">IF(LEN(_xlfn.BASE(F89,2,8))-9&lt;0,F89,IF(LEN(_xlfn.BASE(F89,2,8))-9=0,283,IF(LEN(_xlfn.BASE(F89,2,8))-9=1,566,IF(LEN(_xlfn.BASE(F89,2,8))-9=2,1132,IF(LEN(_xlfn.BASE(F89,2,8))-9=3,2264)))))</f>
        <v>200</v>
      </c>
      <c r="G90" s="145">
        <f t="shared" ref="G90" ca="1" si="153">IF(LEN(_xlfn.BASE(G89,2,8))-9&lt;0,G89,IF(LEN(_xlfn.BASE(G89,2,8))-9=0,283,IF(LEN(_xlfn.BASE(G89,2,8))-9=1,566,IF(LEN(_xlfn.BASE(G89,2,8))-9=2,1132,IF(LEN(_xlfn.BASE(G89,2,8))-9=3,2264)))))</f>
        <v>3</v>
      </c>
      <c r="H90" s="93" t="str">
        <f t="shared" ca="1" si="135"/>
        <v>9,8,8,8</v>
      </c>
      <c r="I90" s="366" t="str">
        <f t="shared" ca="1" si="114"/>
        <v>100011011,10100010,11001000,00000011</v>
      </c>
      <c r="J90" s="366"/>
      <c r="K90" s="366"/>
      <c r="L90" s="139"/>
      <c r="M90" s="93" t="s">
        <v>72</v>
      </c>
      <c r="N90" s="145">
        <f ca="1">IF(LEN(_xlfn.BASE(N89,2,8))-9&lt;0,N89,IF(LEN(_xlfn.BASE(N89,2,8))-9=0,283,IF(LEN(_xlfn.BASE(N89,2,8))-9=1,566,IF(LEN(_xlfn.BASE(N89,2,8))-9=2,1132,IF(LEN(_xlfn.BASE(N89,2,8))-9=3,2264)))))</f>
        <v>106</v>
      </c>
      <c r="O90" s="145">
        <f t="shared" ref="O90" ca="1" si="154">IF(LEN(_xlfn.BASE(O89,2,8))-9&lt;0,O89,IF(LEN(_xlfn.BASE(O89,2,8))-9=0,283,IF(LEN(_xlfn.BASE(O89,2,8))-9=1,566,IF(LEN(_xlfn.BASE(O89,2,8))-9=2,1132,IF(LEN(_xlfn.BASE(O89,2,8))-9=3,2264)))))</f>
        <v>10</v>
      </c>
      <c r="P90" s="145">
        <f t="shared" ref="P90" ca="1" si="155">IF(LEN(_xlfn.BASE(P89,2,8))-9&lt;0,P89,IF(LEN(_xlfn.BASE(P89,2,8))-9=0,283,IF(LEN(_xlfn.BASE(P89,2,8))-9=1,566,IF(LEN(_xlfn.BASE(P89,2,8))-9=2,1132,IF(LEN(_xlfn.BASE(P89,2,8))-9=3,2264)))))</f>
        <v>178</v>
      </c>
      <c r="Q90" s="145">
        <f t="shared" ref="Q90" ca="1" si="156">IF(LEN(_xlfn.BASE(Q89,2,8))-9&lt;0,Q89,IF(LEN(_xlfn.BASE(Q89,2,8))-9=0,283,IF(LEN(_xlfn.BASE(Q89,2,8))-9=1,566,IF(LEN(_xlfn.BASE(Q89,2,8))-9=2,1132,IF(LEN(_xlfn.BASE(Q89,2,8))-9=3,2264)))))</f>
        <v>122</v>
      </c>
      <c r="R90" s="93" t="str">
        <f t="shared" ca="1" si="108"/>
        <v>8,8,8,8</v>
      </c>
      <c r="S90" s="366" t="str">
        <f t="shared" ca="1" si="109"/>
        <v>01101010,00001010,10110010,01111010</v>
      </c>
      <c r="T90" s="366"/>
      <c r="U90" s="366"/>
      <c r="V90" s="139"/>
      <c r="W90" s="93" t="s">
        <v>72</v>
      </c>
      <c r="X90" s="145">
        <f ca="1">IF(LEN(_xlfn.BASE(X89,2,8))-9&lt;0,X89,IF(LEN(_xlfn.BASE(X89,2,8))-9=0,283,IF(LEN(_xlfn.BASE(X89,2,8))-9=1,566,IF(LEN(_xlfn.BASE(X89,2,8))-9=2,1132,IF(LEN(_xlfn.BASE(X89,2,8))-9=3,2264)))))</f>
        <v>106</v>
      </c>
      <c r="Y90" s="145">
        <f t="shared" ref="Y90" ca="1" si="157">IF(LEN(_xlfn.BASE(Y89,2,8))-9&lt;0,Y89,IF(LEN(_xlfn.BASE(Y89,2,8))-9=0,283,IF(LEN(_xlfn.BASE(Y89,2,8))-9=1,566,IF(LEN(_xlfn.BASE(Y89,2,8))-9=2,1132,IF(LEN(_xlfn.BASE(Y89,2,8))-9=3,2264)))))</f>
        <v>283</v>
      </c>
      <c r="Z90" s="145">
        <f t="shared" ref="Z90" ca="1" si="158">IF(LEN(_xlfn.BASE(Z89,2,8))-9&lt;0,Z89,IF(LEN(_xlfn.BASE(Z89,2,8))-9=0,283,IF(LEN(_xlfn.BASE(Z89,2,8))-9=1,566,IF(LEN(_xlfn.BASE(Z89,2,8))-9=2,1132,IF(LEN(_xlfn.BASE(Z89,2,8))-9=3,2264)))))</f>
        <v>144</v>
      </c>
      <c r="AA90" s="145">
        <f t="shared" ref="AA90" ca="1" si="159">IF(LEN(_xlfn.BASE(AA89,2,8))-9&lt;0,AA89,IF(LEN(_xlfn.BASE(AA89,2,8))-9=0,283,IF(LEN(_xlfn.BASE(AA89,2,8))-9=1,566,IF(LEN(_xlfn.BASE(AA89,2,8))-9=2,1132,IF(LEN(_xlfn.BASE(AA89,2,8))-9=3,2264)))))</f>
        <v>200</v>
      </c>
      <c r="AB90" s="93" t="str">
        <f t="shared" ca="1" si="142"/>
        <v>8,9,8,8</v>
      </c>
      <c r="AC90" s="366" t="str">
        <f t="shared" ca="1" si="122"/>
        <v>01101010,100011011,10010000,11001000</v>
      </c>
      <c r="AD90" s="366"/>
      <c r="AE90" s="366"/>
      <c r="AF90" s="3"/>
      <c r="AG90" s="93" t="s">
        <v>72</v>
      </c>
      <c r="AH90" s="145">
        <f ca="1">IF(LEN(_xlfn.BASE(AH89,2,8))-9&lt;0,AH89,IF(LEN(_xlfn.BASE(AH89,2,8))-9=0,283,IF(LEN(_xlfn.BASE(AH89,2,8))-9=1,566,IF(LEN(_xlfn.BASE(AH89,2,8))-9=2,1132,IF(LEN(_xlfn.BASE(AH89,2,8))-9=3,2264)))))</f>
        <v>111</v>
      </c>
      <c r="AI90" s="145">
        <f t="shared" ref="AI90" ca="1" si="160">IF(LEN(_xlfn.BASE(AI89,2,8))-9&lt;0,AI89,IF(LEN(_xlfn.BASE(AI89,2,8))-9=0,283,IF(LEN(_xlfn.BASE(AI89,2,8))-9=1,566,IF(LEN(_xlfn.BASE(AI89,2,8))-9=2,1132,IF(LEN(_xlfn.BASE(AI89,2,8))-9=3,2264)))))</f>
        <v>52</v>
      </c>
      <c r="AJ90" s="145">
        <f t="shared" ref="AJ90" ca="1" si="161">IF(LEN(_xlfn.BASE(AJ89,2,8))-9&lt;0,AJ89,IF(LEN(_xlfn.BASE(AJ89,2,8))-9=0,283,IF(LEN(_xlfn.BASE(AJ89,2,8))-9=1,566,IF(LEN(_xlfn.BASE(AJ89,2,8))-9=2,1132,IF(LEN(_xlfn.BASE(AJ89,2,8))-9=3,2264)))))</f>
        <v>283</v>
      </c>
      <c r="AK90" s="145">
        <f t="shared" ref="AK90" ca="1" si="162">IF(LEN(_xlfn.BASE(AK89,2,8))-9&lt;0,AK89,IF(LEN(_xlfn.BASE(AK89,2,8))-9=0,283,IF(LEN(_xlfn.BASE(AK89,2,8))-9=1,566,IF(LEN(_xlfn.BASE(AK89,2,8))-9=2,1132,IF(LEN(_xlfn.BASE(AK89,2,8))-9=3,2264)))))</f>
        <v>239</v>
      </c>
      <c r="AL90" s="93" t="str">
        <f t="shared" ca="1" si="146"/>
        <v>8,8,9,8</v>
      </c>
      <c r="AM90" s="366" t="str">
        <f t="shared" ca="1" si="127"/>
        <v>01101111,00110100,100011011,11101111</v>
      </c>
      <c r="AN90" s="366"/>
      <c r="AO90" s="366"/>
      <c r="AP90" s="251"/>
    </row>
    <row r="91" spans="2:42" x14ac:dyDescent="0.25">
      <c r="B91" s="380"/>
      <c r="C91" s="3"/>
      <c r="D91" s="139">
        <f ca="1">IF(_xlfn.BITXOR(D89,D90)=0,D90,_xlfn.BITXOR(D89,D90))</f>
        <v>177</v>
      </c>
      <c r="E91" s="139">
        <f t="shared" ref="E91:G91" ca="1" si="163">IF(_xlfn.BITXOR(E89,E90)=0,E90,_xlfn.BITXOR(E89,E90))</f>
        <v>162</v>
      </c>
      <c r="F91" s="139">
        <f t="shared" ca="1" si="163"/>
        <v>200</v>
      </c>
      <c r="G91" s="139">
        <f t="shared" ca="1" si="163"/>
        <v>3</v>
      </c>
      <c r="H91" s="139" t="str">
        <f t="shared" ca="1" si="135"/>
        <v>8,8,8,8</v>
      </c>
      <c r="I91" s="339" t="str">
        <f t="shared" ca="1" si="114"/>
        <v>10110001,10100010,11001000,00000011</v>
      </c>
      <c r="J91" s="339"/>
      <c r="K91" s="339"/>
      <c r="L91" s="139"/>
      <c r="M91" s="3"/>
      <c r="N91" s="139">
        <f ca="1">IF(_xlfn.BITXOR(N89,N90)=0,N90,_xlfn.BITXOR(N89,N90))</f>
        <v>106</v>
      </c>
      <c r="O91" s="139">
        <f t="shared" ref="O91:Q91" ca="1" si="164">IF(_xlfn.BITXOR(O89,O90)=0,O90,_xlfn.BITXOR(O89,O90))</f>
        <v>10</v>
      </c>
      <c r="P91" s="139">
        <f t="shared" ca="1" si="164"/>
        <v>178</v>
      </c>
      <c r="Q91" s="139">
        <f t="shared" ca="1" si="164"/>
        <v>122</v>
      </c>
      <c r="R91" s="139" t="str">
        <f t="shared" ca="1" si="108"/>
        <v>8,8,8,8</v>
      </c>
      <c r="S91" s="339" t="str">
        <f t="shared" ca="1" si="109"/>
        <v>01101010,00001010,10110010,01111010</v>
      </c>
      <c r="T91" s="339"/>
      <c r="U91" s="339"/>
      <c r="V91" s="139"/>
      <c r="W91" s="3"/>
      <c r="X91" s="139">
        <f ca="1">IF(_xlfn.BITXOR(X89,X90)=0,X90,_xlfn.BITXOR(X89,X90))</f>
        <v>106</v>
      </c>
      <c r="Y91" s="139">
        <f t="shared" ref="Y91:AA91" ca="1" si="165">IF(_xlfn.BITXOR(Y89,Y90)=0,Y90,_xlfn.BITXOR(Y89,Y90))</f>
        <v>97</v>
      </c>
      <c r="Z91" s="139">
        <f t="shared" ca="1" si="165"/>
        <v>144</v>
      </c>
      <c r="AA91" s="139">
        <f t="shared" ca="1" si="165"/>
        <v>200</v>
      </c>
      <c r="AB91" s="139" t="str">
        <f t="shared" ca="1" si="142"/>
        <v>8,8,8,8</v>
      </c>
      <c r="AC91" s="339" t="str">
        <f t="shared" ca="1" si="122"/>
        <v>01101010,01100001,10010000,11001000</v>
      </c>
      <c r="AD91" s="339"/>
      <c r="AE91" s="339"/>
      <c r="AF91" s="3"/>
      <c r="AG91" s="3"/>
      <c r="AH91" s="139">
        <f ca="1">IF(_xlfn.BITXOR(AH89,AH90)=0,AH90,_xlfn.BITXOR(AH89,AH90))</f>
        <v>111</v>
      </c>
      <c r="AI91" s="139">
        <f t="shared" ref="AI91:AK91" ca="1" si="166">IF(_xlfn.BITXOR(AI89,AI90)=0,AI90,_xlfn.BITXOR(AI89,AI90))</f>
        <v>52</v>
      </c>
      <c r="AJ91" s="139">
        <f t="shared" ca="1" si="166"/>
        <v>28</v>
      </c>
      <c r="AK91" s="139">
        <f t="shared" ca="1" si="166"/>
        <v>239</v>
      </c>
      <c r="AL91" s="139" t="str">
        <f t="shared" ca="1" si="146"/>
        <v>8,8,8,8</v>
      </c>
      <c r="AM91" s="339" t="str">
        <f t="shared" ca="1" si="127"/>
        <v>01101111,00110100,00011100,11101111</v>
      </c>
      <c r="AN91" s="339"/>
      <c r="AO91" s="339"/>
      <c r="AP91" s="251"/>
    </row>
    <row r="92" spans="2:42" x14ac:dyDescent="0.25">
      <c r="B92" s="250"/>
      <c r="C92" s="3"/>
      <c r="D92" s="370">
        <f ca="1">_xlfn.BITXOR(_xlfn.BITXOR(D91,E91),_xlfn.BITXOR(F91,G91))</f>
        <v>216</v>
      </c>
      <c r="E92" s="370"/>
      <c r="F92" s="370"/>
      <c r="G92" s="370"/>
      <c r="H92" s="321">
        <f ca="1">LEN(_xlfn.BASE(D92,2,8))</f>
        <v>8</v>
      </c>
      <c r="I92" s="370" t="str">
        <f ca="1">_xlfn.BASE(D92,2,8)</f>
        <v>11011000</v>
      </c>
      <c r="J92" s="370"/>
      <c r="K92" s="370"/>
      <c r="L92" s="320"/>
      <c r="M92" s="3"/>
      <c r="N92" s="370">
        <f ca="1">_xlfn.BITXOR(_xlfn.BITXOR(N91,O91),_xlfn.BITXOR(P91,Q91))</f>
        <v>168</v>
      </c>
      <c r="O92" s="370"/>
      <c r="P92" s="370"/>
      <c r="Q92" s="370"/>
      <c r="R92" s="321">
        <f ca="1">LEN(_xlfn.BASE(N92,2,8))</f>
        <v>8</v>
      </c>
      <c r="S92" s="370" t="str">
        <f ca="1">_xlfn.BASE(N92,2,8)</f>
        <v>10101000</v>
      </c>
      <c r="T92" s="370"/>
      <c r="U92" s="370"/>
      <c r="V92" s="320"/>
      <c r="W92" s="3"/>
      <c r="X92" s="370">
        <f ca="1">_xlfn.BITXOR(_xlfn.BITXOR(X91,Y91),_xlfn.BITXOR(Z91,AA91))</f>
        <v>83</v>
      </c>
      <c r="Y92" s="370"/>
      <c r="Z92" s="370"/>
      <c r="AA92" s="370"/>
      <c r="AB92" s="321">
        <f ca="1">LEN(_xlfn.BASE(X92,2,8))</f>
        <v>8</v>
      </c>
      <c r="AC92" s="370" t="str">
        <f ca="1">_xlfn.BASE(X92,2,8)</f>
        <v>01010011</v>
      </c>
      <c r="AD92" s="370"/>
      <c r="AE92" s="370"/>
      <c r="AF92" s="28"/>
      <c r="AG92" s="3"/>
      <c r="AH92" s="370">
        <f ca="1">_xlfn.BITXOR(_xlfn.BITXOR(AH91,AI91),_xlfn.BITXOR(AJ91,AK91))</f>
        <v>168</v>
      </c>
      <c r="AI92" s="370"/>
      <c r="AJ92" s="370"/>
      <c r="AK92" s="370"/>
      <c r="AL92" s="321">
        <f ca="1">LEN(_xlfn.BASE(AH92,2,8))</f>
        <v>8</v>
      </c>
      <c r="AM92" s="370" t="str">
        <f ca="1">_xlfn.BASE(AH92,2,8)</f>
        <v>10101000</v>
      </c>
      <c r="AN92" s="370"/>
      <c r="AO92" s="370"/>
      <c r="AP92" s="251"/>
    </row>
    <row r="93" spans="2:42" x14ac:dyDescent="0.25">
      <c r="B93" s="250"/>
      <c r="C93" s="3"/>
      <c r="D93" s="3"/>
      <c r="E93" s="28"/>
      <c r="F93" s="28"/>
      <c r="G93" s="3"/>
      <c r="H93" s="3"/>
      <c r="I93" s="3"/>
      <c r="J93" s="3"/>
      <c r="K93" s="3"/>
      <c r="L93" s="3"/>
      <c r="M93" s="3"/>
      <c r="N93" s="3"/>
      <c r="O93" s="28"/>
      <c r="P93" s="28"/>
      <c r="Q93" s="3"/>
      <c r="R93" s="3"/>
      <c r="S93" s="3"/>
      <c r="T93" s="3"/>
      <c r="U93" s="3"/>
      <c r="V93" s="3"/>
      <c r="W93" s="3"/>
      <c r="X93" s="3"/>
      <c r="Y93" s="28"/>
      <c r="Z93" s="28"/>
      <c r="AA93" s="3"/>
      <c r="AB93" s="3"/>
      <c r="AC93" s="3"/>
      <c r="AD93" s="3"/>
      <c r="AE93" s="3"/>
      <c r="AF93" s="3"/>
      <c r="AG93" s="3"/>
      <c r="AH93" s="3"/>
      <c r="AI93" s="28"/>
      <c r="AJ93" s="28"/>
      <c r="AK93" s="3"/>
      <c r="AL93" s="3"/>
      <c r="AM93" s="3"/>
      <c r="AN93" s="3"/>
      <c r="AO93" s="3"/>
      <c r="AP93" s="251"/>
    </row>
    <row r="94" spans="2:42" ht="15.75" thickBot="1" x14ac:dyDescent="0.3">
      <c r="B94" s="254"/>
      <c r="C94" s="2"/>
      <c r="D94" s="3"/>
      <c r="E94" s="3"/>
      <c r="F94" s="3"/>
      <c r="G94" s="139"/>
      <c r="H94" s="339" t="s">
        <v>256</v>
      </c>
      <c r="I94" s="339"/>
      <c r="J94" s="339"/>
      <c r="K94" s="339"/>
      <c r="L94" s="3"/>
      <c r="M94" s="339" t="s">
        <v>257</v>
      </c>
      <c r="N94" s="339"/>
      <c r="O94" s="339"/>
      <c r="P94" s="339"/>
      <c r="Q94" s="3"/>
      <c r="R94" s="339" t="s">
        <v>258</v>
      </c>
      <c r="S94" s="339"/>
      <c r="T94" s="339"/>
      <c r="U94" s="339"/>
      <c r="V94" s="3"/>
      <c r="W94" s="3"/>
      <c r="X94" s="3"/>
      <c r="Y94" s="3"/>
      <c r="Z94" s="3"/>
      <c r="AA94" s="3"/>
      <c r="AB94" s="3"/>
      <c r="AC94" s="3"/>
      <c r="AD94" s="3"/>
      <c r="AE94" s="3"/>
      <c r="AF94" s="3"/>
      <c r="AG94" s="3"/>
      <c r="AH94" s="3"/>
      <c r="AI94" s="3"/>
      <c r="AJ94" s="3"/>
      <c r="AK94" s="3"/>
      <c r="AL94" s="3"/>
      <c r="AM94" s="3"/>
      <c r="AN94" s="3"/>
      <c r="AO94" s="3"/>
      <c r="AP94" s="251"/>
    </row>
    <row r="95" spans="2:42" x14ac:dyDescent="0.25">
      <c r="B95" s="256"/>
      <c r="C95" s="139" t="s">
        <v>26</v>
      </c>
      <c r="D95" s="139" t="s">
        <v>30</v>
      </c>
      <c r="E95" s="139" t="s">
        <v>34</v>
      </c>
      <c r="F95" s="11" t="s">
        <v>38</v>
      </c>
      <c r="G95" s="4"/>
      <c r="H95" s="8" t="str">
        <f t="shared" ref="H95:J98" ca="1" si="167">_xlfn.BASE(M95,2,8)</f>
        <v>10010011</v>
      </c>
      <c r="I95" s="139" t="str">
        <f t="shared" ca="1" si="167"/>
        <v>01000101</v>
      </c>
      <c r="J95" s="139" t="str">
        <f t="shared" ca="1" si="167"/>
        <v>10000101</v>
      </c>
      <c r="K95" s="11" t="str">
        <f t="shared" ref="K95:K98" ca="1" si="168">_xlfn.BASE(P95,2,8)</f>
        <v>11011000</v>
      </c>
      <c r="L95" s="4"/>
      <c r="M95" s="8">
        <f ca="1">D53</f>
        <v>147</v>
      </c>
      <c r="N95" s="139">
        <f ca="1">N53</f>
        <v>69</v>
      </c>
      <c r="O95" s="139">
        <f ca="1">X53</f>
        <v>133</v>
      </c>
      <c r="P95" s="11">
        <f ca="1">AH53</f>
        <v>216</v>
      </c>
      <c r="Q95" s="3"/>
      <c r="R95" s="8" t="str">
        <f t="shared" ref="R95:U98" ca="1" si="169">_xlfn.BASE(M95,16,2)</f>
        <v>93</v>
      </c>
      <c r="S95" s="139" t="str">
        <f t="shared" ca="1" si="169"/>
        <v>45</v>
      </c>
      <c r="T95" s="139" t="str">
        <f t="shared" ca="1" si="169"/>
        <v>85</v>
      </c>
      <c r="U95" s="11" t="str">
        <f t="shared" ca="1" si="169"/>
        <v>D8</v>
      </c>
      <c r="V95" s="3"/>
      <c r="W95" s="3"/>
      <c r="X95" s="3"/>
      <c r="Y95" s="3"/>
      <c r="Z95" s="3"/>
      <c r="AA95" s="3"/>
      <c r="AB95" s="3"/>
      <c r="AC95" s="3"/>
      <c r="AD95" s="3"/>
      <c r="AE95" s="3"/>
      <c r="AF95" s="3"/>
      <c r="AG95" s="3"/>
      <c r="AH95" s="3"/>
      <c r="AI95" s="3"/>
      <c r="AJ95" s="3"/>
      <c r="AK95" s="3"/>
      <c r="AL95" s="3"/>
      <c r="AM95" s="3"/>
      <c r="AN95" s="3"/>
      <c r="AO95" s="3"/>
      <c r="AP95" s="251"/>
    </row>
    <row r="96" spans="2:42" ht="21" x14ac:dyDescent="0.35">
      <c r="B96" s="256"/>
      <c r="C96" s="139" t="s">
        <v>31</v>
      </c>
      <c r="D96" s="139" t="s">
        <v>35</v>
      </c>
      <c r="E96" s="139" t="s">
        <v>39</v>
      </c>
      <c r="F96" s="88" t="s">
        <v>27</v>
      </c>
      <c r="G96" s="21" t="s">
        <v>8</v>
      </c>
      <c r="H96" s="139" t="str">
        <f t="shared" ca="1" si="167"/>
        <v>00000010</v>
      </c>
      <c r="I96" s="139" t="str">
        <f t="shared" ca="1" si="167"/>
        <v>00100001</v>
      </c>
      <c r="J96" s="139" t="str">
        <f t="shared" ca="1" si="167"/>
        <v>01110001</v>
      </c>
      <c r="K96" s="88" t="str">
        <f t="shared" ca="1" si="168"/>
        <v>00111011</v>
      </c>
      <c r="L96" s="22" t="s">
        <v>8</v>
      </c>
      <c r="M96" s="139">
        <f ca="1">D66</f>
        <v>2</v>
      </c>
      <c r="N96" s="139">
        <f ca="1">N66</f>
        <v>33</v>
      </c>
      <c r="O96" s="139">
        <f ca="1">X66</f>
        <v>113</v>
      </c>
      <c r="P96" s="88">
        <f ca="1">AH66</f>
        <v>59</v>
      </c>
      <c r="Q96" s="44" t="s">
        <v>8</v>
      </c>
      <c r="R96" s="139" t="str">
        <f t="shared" ca="1" si="169"/>
        <v>02</v>
      </c>
      <c r="S96" s="139" t="str">
        <f t="shared" ca="1" si="169"/>
        <v>21</v>
      </c>
      <c r="T96" s="139" t="str">
        <f t="shared" ca="1" si="169"/>
        <v>71</v>
      </c>
      <c r="U96" s="88" t="str">
        <f t="shared" ca="1" si="169"/>
        <v>3B</v>
      </c>
      <c r="V96" s="3"/>
      <c r="W96" s="3"/>
      <c r="X96" s="3"/>
      <c r="Y96" s="3"/>
      <c r="Z96" s="3"/>
      <c r="AA96" s="3"/>
      <c r="AB96" s="3"/>
      <c r="AC96" s="3"/>
      <c r="AD96" s="3"/>
      <c r="AE96" s="3"/>
      <c r="AF96" s="3"/>
      <c r="AG96" s="3"/>
      <c r="AH96" s="3"/>
      <c r="AI96" s="3"/>
      <c r="AJ96" s="3"/>
      <c r="AK96" s="3"/>
      <c r="AL96" s="3"/>
      <c r="AM96" s="3"/>
      <c r="AN96" s="3"/>
      <c r="AO96" s="3"/>
      <c r="AP96" s="251"/>
    </row>
    <row r="97" spans="2:42" x14ac:dyDescent="0.25">
      <c r="B97" s="256"/>
      <c r="C97" s="139" t="s">
        <v>36</v>
      </c>
      <c r="D97" s="139" t="s">
        <v>40</v>
      </c>
      <c r="E97" s="139" t="s">
        <v>28</v>
      </c>
      <c r="F97" s="88" t="s">
        <v>32</v>
      </c>
      <c r="G97" s="4"/>
      <c r="H97" s="139" t="str">
        <f t="shared" ca="1" si="167"/>
        <v>00110011</v>
      </c>
      <c r="I97" s="139" t="str">
        <f t="shared" ca="1" si="167"/>
        <v>00010101</v>
      </c>
      <c r="J97" s="139" t="str">
        <f t="shared" ca="1" si="167"/>
        <v>10000101</v>
      </c>
      <c r="K97" s="88" t="str">
        <f t="shared" ca="1" si="168"/>
        <v>11110111</v>
      </c>
      <c r="L97" s="4"/>
      <c r="M97" s="139">
        <f ca="1">D79</f>
        <v>51</v>
      </c>
      <c r="N97" s="139">
        <f ca="1">N79</f>
        <v>21</v>
      </c>
      <c r="O97" s="139">
        <f ca="1">X79</f>
        <v>133</v>
      </c>
      <c r="P97" s="88">
        <f ca="1">AH79</f>
        <v>247</v>
      </c>
      <c r="Q97" s="4"/>
      <c r="R97" s="139" t="str">
        <f t="shared" ca="1" si="169"/>
        <v>33</v>
      </c>
      <c r="S97" s="139" t="str">
        <f t="shared" ca="1" si="169"/>
        <v>15</v>
      </c>
      <c r="T97" s="139" t="str">
        <f t="shared" ca="1" si="169"/>
        <v>85</v>
      </c>
      <c r="U97" s="88" t="str">
        <f t="shared" ca="1" si="169"/>
        <v>F7</v>
      </c>
      <c r="V97" s="3"/>
      <c r="W97" s="3"/>
      <c r="X97" s="3"/>
      <c r="Y97" s="3"/>
      <c r="Z97" s="3"/>
      <c r="AA97" s="3"/>
      <c r="AB97" s="3"/>
      <c r="AC97" s="3"/>
      <c r="AD97" s="3"/>
      <c r="AE97" s="3"/>
      <c r="AF97" s="3"/>
      <c r="AG97" s="3"/>
      <c r="AH97" s="3"/>
      <c r="AI97" s="3"/>
      <c r="AJ97" s="3"/>
      <c r="AK97" s="3"/>
      <c r="AL97" s="3"/>
      <c r="AM97" s="3"/>
      <c r="AN97" s="3"/>
      <c r="AO97" s="3"/>
      <c r="AP97" s="251"/>
    </row>
    <row r="98" spans="2:42" ht="15.75" thickBot="1" x14ac:dyDescent="0.3">
      <c r="B98" s="256"/>
      <c r="C98" s="139" t="s">
        <v>41</v>
      </c>
      <c r="D98" s="139" t="s">
        <v>29</v>
      </c>
      <c r="E98" s="139" t="s">
        <v>33</v>
      </c>
      <c r="F98" s="14" t="s">
        <v>37</v>
      </c>
      <c r="G98" s="4"/>
      <c r="H98" s="16" t="str">
        <f t="shared" ca="1" si="167"/>
        <v>11011000</v>
      </c>
      <c r="I98" s="139" t="str">
        <f t="shared" ca="1" si="167"/>
        <v>10101000</v>
      </c>
      <c r="J98" s="139" t="str">
        <f t="shared" ca="1" si="167"/>
        <v>01010011</v>
      </c>
      <c r="K98" s="88" t="str">
        <f t="shared" ca="1" si="168"/>
        <v>10101000</v>
      </c>
      <c r="L98" s="4"/>
      <c r="M98" s="16">
        <f ca="1">D92</f>
        <v>216</v>
      </c>
      <c r="N98" s="139">
        <f ca="1">N92</f>
        <v>168</v>
      </c>
      <c r="O98" s="139">
        <f ca="1">X92</f>
        <v>83</v>
      </c>
      <c r="P98" s="14">
        <f ca="1">AH92</f>
        <v>168</v>
      </c>
      <c r="Q98" s="4"/>
      <c r="R98" s="16" t="str">
        <f t="shared" ca="1" si="169"/>
        <v>D8</v>
      </c>
      <c r="S98" s="139" t="str">
        <f t="shared" ca="1" si="169"/>
        <v>A8</v>
      </c>
      <c r="T98" s="139" t="str">
        <f t="shared" ca="1" si="169"/>
        <v>53</v>
      </c>
      <c r="U98" s="14" t="str">
        <f t="shared" ca="1" si="169"/>
        <v>A8</v>
      </c>
      <c r="V98" s="3"/>
      <c r="W98" s="3"/>
      <c r="X98" s="3"/>
      <c r="Y98" s="3"/>
      <c r="Z98" s="3"/>
      <c r="AA98" s="3"/>
      <c r="AB98" s="3"/>
      <c r="AC98" s="3"/>
      <c r="AD98" s="3"/>
      <c r="AE98" s="3"/>
      <c r="AF98" s="3"/>
      <c r="AG98" s="3"/>
      <c r="AH98" s="3"/>
      <c r="AI98" s="3"/>
      <c r="AJ98" s="3"/>
      <c r="AK98" s="3"/>
      <c r="AL98" s="3"/>
      <c r="AM98" s="3"/>
      <c r="AN98" s="3"/>
      <c r="AO98" s="3"/>
      <c r="AP98" s="251"/>
    </row>
    <row r="99" spans="2:42" ht="15.75" thickBot="1" x14ac:dyDescent="0.3">
      <c r="B99" s="257"/>
      <c r="C99" s="258"/>
      <c r="D99" s="259"/>
      <c r="E99" s="259"/>
      <c r="F99" s="259"/>
      <c r="G99" s="259"/>
      <c r="H99" s="259"/>
      <c r="I99" s="259"/>
      <c r="J99" s="259"/>
      <c r="K99" s="258"/>
      <c r="L99" s="259"/>
      <c r="M99" s="259"/>
      <c r="N99" s="259"/>
      <c r="O99" s="259"/>
      <c r="P99" s="259"/>
      <c r="Q99" s="259"/>
      <c r="R99" s="259"/>
      <c r="S99" s="259"/>
      <c r="T99" s="259"/>
      <c r="U99" s="259"/>
      <c r="V99" s="259"/>
      <c r="W99" s="259"/>
      <c r="X99" s="259"/>
      <c r="Y99" s="259"/>
      <c r="Z99" s="259"/>
      <c r="AA99" s="259"/>
      <c r="AB99" s="259"/>
      <c r="AC99" s="259"/>
      <c r="AD99" s="259"/>
      <c r="AE99" s="259"/>
      <c r="AF99" s="259"/>
      <c r="AG99" s="259"/>
      <c r="AH99" s="259"/>
      <c r="AI99" s="259"/>
      <c r="AJ99" s="259"/>
      <c r="AK99" s="259"/>
      <c r="AL99" s="259"/>
      <c r="AM99" s="259"/>
      <c r="AN99" s="259"/>
      <c r="AO99" s="259"/>
      <c r="AP99" s="260"/>
    </row>
    <row r="100" spans="2:42" ht="16.5" thickTop="1" thickBot="1" x14ac:dyDescent="0.3"/>
    <row r="101" spans="2:42" ht="27" thickTop="1" x14ac:dyDescent="0.4">
      <c r="B101" s="233" t="s">
        <v>318</v>
      </c>
      <c r="C101" s="166"/>
      <c r="D101" s="166"/>
      <c r="E101" s="166"/>
      <c r="F101" s="166"/>
      <c r="G101" s="166"/>
      <c r="H101" s="166"/>
      <c r="I101" s="166"/>
      <c r="J101" s="166"/>
      <c r="K101" s="166"/>
      <c r="L101" s="166"/>
      <c r="M101" s="166"/>
      <c r="N101" s="166"/>
      <c r="O101" s="166"/>
      <c r="P101" s="166"/>
      <c r="Q101" s="166"/>
      <c r="R101" s="166"/>
      <c r="S101" s="166"/>
      <c r="T101" s="166"/>
      <c r="U101" s="166"/>
      <c r="V101" s="167"/>
    </row>
    <row r="102" spans="2:42" ht="15.75" thickBot="1" x14ac:dyDescent="0.3">
      <c r="B102" s="168"/>
      <c r="C102" s="2"/>
      <c r="D102" s="3"/>
      <c r="E102" s="3"/>
      <c r="F102" s="2"/>
      <c r="G102" s="3"/>
      <c r="H102" s="339" t="s">
        <v>256</v>
      </c>
      <c r="I102" s="339"/>
      <c r="J102" s="339"/>
      <c r="K102" s="339"/>
      <c r="L102" s="3"/>
      <c r="M102" s="339" t="s">
        <v>257</v>
      </c>
      <c r="N102" s="339"/>
      <c r="O102" s="339"/>
      <c r="P102" s="339"/>
      <c r="Q102" s="3"/>
      <c r="R102" s="339" t="s">
        <v>258</v>
      </c>
      <c r="S102" s="339"/>
      <c r="T102" s="339"/>
      <c r="U102" s="339"/>
      <c r="V102" s="169"/>
    </row>
    <row r="103" spans="2:42" x14ac:dyDescent="0.25">
      <c r="B103" s="170" t="s">
        <v>313</v>
      </c>
      <c r="C103" s="143" t="s">
        <v>26</v>
      </c>
      <c r="D103" s="139" t="s">
        <v>30</v>
      </c>
      <c r="E103" s="139" t="s">
        <v>34</v>
      </c>
      <c r="F103" s="11" t="s">
        <v>38</v>
      </c>
      <c r="G103" s="3"/>
      <c r="H103" s="8" t="str">
        <f ca="1">_xlfn.BASE(M103,2,8)</f>
        <v>10010011</v>
      </c>
      <c r="I103" s="139" t="str">
        <f ca="1">_xlfn.BASE(N103,2,8)</f>
        <v>01000101</v>
      </c>
      <c r="J103" s="139" t="str">
        <f ca="1">_xlfn.BASE(O103,2,8)</f>
        <v>10000101</v>
      </c>
      <c r="K103" s="143" t="str">
        <f ca="1">_xlfn.BASE(P103,2,8)</f>
        <v>11011000</v>
      </c>
      <c r="L103" s="7"/>
      <c r="M103" s="143">
        <f ca="1">M95</f>
        <v>147</v>
      </c>
      <c r="N103" s="139">
        <f ca="1">N95</f>
        <v>69</v>
      </c>
      <c r="O103" s="139">
        <f ca="1">O95</f>
        <v>133</v>
      </c>
      <c r="P103" s="11">
        <f t="shared" ref="P103" ca="1" si="170">P95</f>
        <v>216</v>
      </c>
      <c r="Q103" s="88"/>
      <c r="R103" s="8" t="str">
        <f t="shared" ref="R103:U106" ca="1" si="171">_xlfn.BASE(M103,16,2)</f>
        <v>93</v>
      </c>
      <c r="S103" s="139" t="str">
        <f t="shared" ca="1" si="171"/>
        <v>45</v>
      </c>
      <c r="T103" s="139" t="str">
        <f t="shared" ca="1" si="171"/>
        <v>85</v>
      </c>
      <c r="U103" s="11" t="str">
        <f t="shared" ca="1" si="171"/>
        <v>D8</v>
      </c>
      <c r="V103" s="169"/>
    </row>
    <row r="104" spans="2:42" ht="21" x14ac:dyDescent="0.35">
      <c r="B104" s="170" t="s">
        <v>314</v>
      </c>
      <c r="C104" s="139" t="s">
        <v>27</v>
      </c>
      <c r="D104" s="139" t="s">
        <v>31</v>
      </c>
      <c r="E104" s="139" t="s">
        <v>35</v>
      </c>
      <c r="F104" s="88" t="s">
        <v>39</v>
      </c>
      <c r="G104" s="19" t="s">
        <v>8</v>
      </c>
      <c r="H104" s="139" t="str">
        <f ca="1">_xlfn.BASE(N104,2,8)</f>
        <v>00000010</v>
      </c>
      <c r="I104" s="139" t="str">
        <f ca="1">_xlfn.BASE(O104,2,8)</f>
        <v>00100001</v>
      </c>
      <c r="J104" s="139" t="str">
        <f ca="1">_xlfn.BASE(P104,2,8)</f>
        <v>01110001</v>
      </c>
      <c r="K104" s="139" t="str">
        <f ca="1">_xlfn.BASE(M104,2,8)</f>
        <v>00111011</v>
      </c>
      <c r="L104" s="24" t="s">
        <v>8</v>
      </c>
      <c r="M104" s="9">
        <f ca="1">P96</f>
        <v>59</v>
      </c>
      <c r="N104" s="139">
        <f ca="1">M96</f>
        <v>2</v>
      </c>
      <c r="O104" s="139">
        <f ca="1">N96</f>
        <v>33</v>
      </c>
      <c r="P104" s="139">
        <f ca="1">O96</f>
        <v>113</v>
      </c>
      <c r="Q104" s="17" t="s">
        <v>8</v>
      </c>
      <c r="R104" s="139" t="str">
        <f t="shared" ca="1" si="171"/>
        <v>3B</v>
      </c>
      <c r="S104" s="139" t="str">
        <f t="shared" ca="1" si="171"/>
        <v>02</v>
      </c>
      <c r="T104" s="139" t="str">
        <f t="shared" ca="1" si="171"/>
        <v>21</v>
      </c>
      <c r="U104" s="88" t="str">
        <f t="shared" ca="1" si="171"/>
        <v>71</v>
      </c>
      <c r="V104" s="169"/>
    </row>
    <row r="105" spans="2:42" x14ac:dyDescent="0.25">
      <c r="B105" s="170" t="s">
        <v>315</v>
      </c>
      <c r="C105" s="139" t="s">
        <v>28</v>
      </c>
      <c r="D105" s="139" t="s">
        <v>32</v>
      </c>
      <c r="E105" s="139" t="s">
        <v>36</v>
      </c>
      <c r="F105" s="88" t="s">
        <v>40</v>
      </c>
      <c r="G105" s="7"/>
      <c r="H105" s="139" t="str">
        <f ca="1">_xlfn.BASE(O105,2,8)</f>
        <v>00110011</v>
      </c>
      <c r="I105" s="139" t="str">
        <f ca="1">_xlfn.BASE(P105,2,8)</f>
        <v>00010101</v>
      </c>
      <c r="J105" s="139" t="str">
        <f ca="1">_xlfn.BASE(M105,2,8)</f>
        <v>10000101</v>
      </c>
      <c r="K105" s="139" t="str">
        <f ca="1">_xlfn.BASE(N105,2,8)</f>
        <v>11110111</v>
      </c>
      <c r="L105" s="7"/>
      <c r="M105" s="139">
        <f ca="1">O97</f>
        <v>133</v>
      </c>
      <c r="N105" s="139">
        <f ca="1">P97</f>
        <v>247</v>
      </c>
      <c r="O105" s="139">
        <f ca="1">M97</f>
        <v>51</v>
      </c>
      <c r="P105" s="88">
        <f ca="1">N97</f>
        <v>21</v>
      </c>
      <c r="Q105" s="88"/>
      <c r="R105" s="139" t="str">
        <f t="shared" ca="1" si="171"/>
        <v>85</v>
      </c>
      <c r="S105" s="139" t="str">
        <f t="shared" ca="1" si="171"/>
        <v>F7</v>
      </c>
      <c r="T105" s="139" t="str">
        <f t="shared" ca="1" si="171"/>
        <v>33</v>
      </c>
      <c r="U105" s="88" t="str">
        <f t="shared" ca="1" si="171"/>
        <v>15</v>
      </c>
      <c r="V105" s="169"/>
    </row>
    <row r="106" spans="2:42" ht="15.75" thickBot="1" x14ac:dyDescent="0.3">
      <c r="B106" s="170" t="s">
        <v>316</v>
      </c>
      <c r="C106" s="16" t="s">
        <v>29</v>
      </c>
      <c r="D106" s="139" t="s">
        <v>33</v>
      </c>
      <c r="E106" s="139" t="s">
        <v>37</v>
      </c>
      <c r="F106" s="14" t="s">
        <v>41</v>
      </c>
      <c r="G106" s="4"/>
      <c r="H106" s="139" t="str">
        <f ca="1">_xlfn.BASE(P106,2,8)</f>
        <v>11011000</v>
      </c>
      <c r="I106" s="139" t="str">
        <f ca="1">_xlfn.BASE(M106,2,8)</f>
        <v>10101000</v>
      </c>
      <c r="J106" s="139" t="str">
        <f ca="1">_xlfn.BASE(N106,2,8)</f>
        <v>01010011</v>
      </c>
      <c r="K106" s="139" t="str">
        <f ca="1">_xlfn.BASE(O106,2,8)</f>
        <v>10101000</v>
      </c>
      <c r="L106" s="7"/>
      <c r="M106" s="16">
        <f ca="1">N98</f>
        <v>168</v>
      </c>
      <c r="N106" s="139">
        <f ca="1">O98</f>
        <v>83</v>
      </c>
      <c r="O106" s="139">
        <f ca="1">P98</f>
        <v>168</v>
      </c>
      <c r="P106" s="14">
        <f ca="1">M98</f>
        <v>216</v>
      </c>
      <c r="Q106" s="88"/>
      <c r="R106" s="16" t="str">
        <f t="shared" ca="1" si="171"/>
        <v>A8</v>
      </c>
      <c r="S106" s="139" t="str">
        <f t="shared" ca="1" si="171"/>
        <v>53</v>
      </c>
      <c r="T106" s="139" t="str">
        <f t="shared" ca="1" si="171"/>
        <v>A8</v>
      </c>
      <c r="U106" s="88" t="str">
        <f t="shared" ca="1" si="171"/>
        <v>D8</v>
      </c>
      <c r="V106" s="169"/>
    </row>
    <row r="107" spans="2:42" ht="15.75" thickBot="1" x14ac:dyDescent="0.3">
      <c r="B107" s="171"/>
      <c r="C107" s="172"/>
      <c r="D107" s="173"/>
      <c r="E107" s="173"/>
      <c r="F107" s="173"/>
      <c r="G107" s="173"/>
      <c r="H107" s="172"/>
      <c r="I107" s="173"/>
      <c r="J107" s="173"/>
      <c r="K107" s="172"/>
      <c r="L107" s="173"/>
      <c r="M107" s="173"/>
      <c r="N107" s="173"/>
      <c r="O107" s="173"/>
      <c r="P107" s="172"/>
      <c r="Q107" s="173"/>
      <c r="R107" s="173"/>
      <c r="S107" s="173"/>
      <c r="T107" s="173"/>
      <c r="U107" s="172"/>
      <c r="V107" s="174"/>
    </row>
    <row r="108" spans="2:42" ht="16.5" thickTop="1" thickBot="1" x14ac:dyDescent="0.3"/>
    <row r="109" spans="2:42" ht="27" thickTop="1" x14ac:dyDescent="0.4">
      <c r="B109" s="261" t="s">
        <v>319</v>
      </c>
      <c r="C109" s="156"/>
      <c r="D109" s="157"/>
      <c r="E109" s="157"/>
      <c r="F109" s="157"/>
      <c r="G109" s="157"/>
      <c r="H109" s="157"/>
      <c r="I109" s="157"/>
      <c r="J109" s="157"/>
      <c r="K109" s="157"/>
      <c r="L109" s="157"/>
      <c r="M109" s="157"/>
      <c r="N109" s="157"/>
      <c r="O109" s="157"/>
      <c r="P109" s="157"/>
      <c r="Q109" s="157"/>
      <c r="R109" s="157"/>
      <c r="S109" s="157"/>
      <c r="T109" s="157"/>
      <c r="U109" s="157"/>
      <c r="V109" s="158"/>
    </row>
    <row r="110" spans="2:42" x14ac:dyDescent="0.25">
      <c r="B110" s="159"/>
      <c r="C110" s="364" t="s">
        <v>9</v>
      </c>
      <c r="D110" s="364"/>
      <c r="E110" s="3"/>
      <c r="F110" s="364" t="s">
        <v>24</v>
      </c>
      <c r="G110" s="364"/>
      <c r="H110" s="3"/>
      <c r="I110" s="364" t="s">
        <v>16</v>
      </c>
      <c r="J110" s="364"/>
      <c r="K110" s="3"/>
      <c r="L110" s="364" t="s">
        <v>21</v>
      </c>
      <c r="M110" s="364"/>
      <c r="N110" s="3"/>
      <c r="O110" s="3"/>
      <c r="P110" s="3"/>
      <c r="Q110" s="3"/>
      <c r="R110" s="3"/>
      <c r="S110" s="3"/>
      <c r="T110" s="3"/>
      <c r="U110" s="3"/>
      <c r="V110" s="160"/>
    </row>
    <row r="111" spans="2:42" s="153" customFormat="1" x14ac:dyDescent="0.25">
      <c r="B111" s="159"/>
      <c r="C111" s="362" t="str">
        <f ca="1">R103</f>
        <v>93</v>
      </c>
      <c r="D111" s="363"/>
      <c r="E111" s="3"/>
      <c r="F111" s="362" t="str">
        <f ca="1">S103</f>
        <v>45</v>
      </c>
      <c r="G111" s="363"/>
      <c r="H111" s="3"/>
      <c r="I111" s="362" t="str">
        <f ca="1">T103</f>
        <v>85</v>
      </c>
      <c r="J111" s="363"/>
      <c r="K111" s="3"/>
      <c r="L111" s="362" t="str">
        <f ca="1">U103</f>
        <v>D8</v>
      </c>
      <c r="M111" s="363"/>
      <c r="N111" s="3"/>
      <c r="O111" s="3"/>
      <c r="P111" s="3"/>
      <c r="Q111" s="3"/>
      <c r="R111" s="3"/>
      <c r="S111" s="3"/>
      <c r="T111" s="3"/>
      <c r="U111" s="3"/>
      <c r="V111" s="160"/>
    </row>
    <row r="112" spans="2:42" x14ac:dyDescent="0.25">
      <c r="B112" s="159"/>
      <c r="C112" s="146" t="str">
        <f ca="1">LEFT(R103,1)&amp;"0"</f>
        <v>90</v>
      </c>
      <c r="D112" s="146" t="str">
        <f ca="1">"0"&amp;RIGHT(R103,1)</f>
        <v>03</v>
      </c>
      <c r="E112" s="3"/>
      <c r="F112" s="146" t="str">
        <f ca="1">LEFT(S103,1)&amp;"0"</f>
        <v>40</v>
      </c>
      <c r="G112" s="146" t="str">
        <f ca="1">"0"&amp;RIGHT(S103,1)</f>
        <v>05</v>
      </c>
      <c r="H112" s="3"/>
      <c r="I112" s="146" t="str">
        <f ca="1">LEFT(T103,1)&amp;"0"</f>
        <v>80</v>
      </c>
      <c r="J112" s="146" t="str">
        <f ca="1">"0"&amp;RIGHT(T103,1)</f>
        <v>05</v>
      </c>
      <c r="K112" s="3"/>
      <c r="L112" s="146" t="str">
        <f ca="1">LEFT(U103,1)&amp;"0"</f>
        <v>D0</v>
      </c>
      <c r="M112" s="146" t="str">
        <f ca="1">"0"&amp;RIGHT(U103,1)</f>
        <v>08</v>
      </c>
      <c r="N112" s="3"/>
      <c r="O112" s="3"/>
      <c r="P112" s="3"/>
      <c r="Q112" s="3"/>
      <c r="R112" s="3"/>
      <c r="S112" s="3"/>
      <c r="T112" s="3"/>
      <c r="U112" s="3"/>
      <c r="V112" s="160"/>
    </row>
    <row r="113" spans="2:22" x14ac:dyDescent="0.25">
      <c r="B113" s="159"/>
      <c r="C113" s="78">
        <f ca="1">HEX2DEC(C112)</f>
        <v>144</v>
      </c>
      <c r="D113" s="78">
        <f ca="1">HEX2DEC(D112)</f>
        <v>3</v>
      </c>
      <c r="E113" s="139"/>
      <c r="F113" s="78">
        <f ca="1">HEX2DEC(F112)</f>
        <v>64</v>
      </c>
      <c r="G113" s="78">
        <f ca="1">HEX2DEC(G112)</f>
        <v>5</v>
      </c>
      <c r="H113" s="139"/>
      <c r="I113" s="78">
        <f ca="1">HEX2DEC(I112)</f>
        <v>128</v>
      </c>
      <c r="J113" s="78">
        <f ca="1">HEX2DEC(J112)</f>
        <v>5</v>
      </c>
      <c r="K113" s="139"/>
      <c r="L113" s="78">
        <f ca="1">HEX2DEC(L112)</f>
        <v>208</v>
      </c>
      <c r="M113" s="78">
        <f ca="1">HEX2DEC(M112)</f>
        <v>8</v>
      </c>
      <c r="N113" s="3"/>
      <c r="O113" s="3"/>
      <c r="P113" s="3"/>
      <c r="Q113" s="3"/>
      <c r="R113" s="3"/>
      <c r="S113" s="3"/>
      <c r="T113" s="3"/>
      <c r="U113" s="3"/>
      <c r="V113" s="160"/>
    </row>
    <row r="114" spans="2:22" x14ac:dyDescent="0.25">
      <c r="B114" s="159"/>
      <c r="C114" s="28"/>
      <c r="D114" s="28"/>
      <c r="E114" s="3"/>
      <c r="F114" s="28"/>
      <c r="G114" s="28"/>
      <c r="H114" s="3"/>
      <c r="I114" s="28"/>
      <c r="J114" s="28"/>
      <c r="K114" s="3"/>
      <c r="L114" s="28"/>
      <c r="M114" s="28"/>
      <c r="N114" s="3"/>
      <c r="O114" s="3"/>
      <c r="P114" s="3"/>
      <c r="Q114" s="3"/>
      <c r="R114" s="3"/>
      <c r="S114" s="3"/>
      <c r="T114" s="3"/>
      <c r="U114" s="3"/>
      <c r="V114" s="160"/>
    </row>
    <row r="115" spans="2:22" ht="15.75" thickBot="1" x14ac:dyDescent="0.3">
      <c r="B115" s="161" t="s">
        <v>255</v>
      </c>
      <c r="C115" s="337">
        <f ca="1">INDEX('AES S-box'!$V$23:$AK$38,MATCH('Decryption Calculations'!C113,'AES S-box'!$U$23:$U$38,1),MATCH('Decryption Calculations'!D113,'AES S-box'!$V$22:$AK$22,1))</f>
        <v>34</v>
      </c>
      <c r="D115" s="337"/>
      <c r="E115" s="3"/>
      <c r="F115" s="337">
        <f ca="1">INDEX('AES S-box'!$V$23:$AK$38,MATCH('Decryption Calculations'!F113,'AES S-box'!$U$23:$U$38,1),MATCH('Decryption Calculations'!G113,'AES S-box'!$V$22:$AK$22,1))</f>
        <v>104</v>
      </c>
      <c r="G115" s="337"/>
      <c r="H115" s="3"/>
      <c r="I115" s="337">
        <f ca="1">INDEX('AES S-box'!$V$23:$AK$38,MATCH('Decryption Calculations'!I113,'AES S-box'!$U$23:$U$38,1),MATCH('Decryption Calculations'!J113,'AES S-box'!$V$22:$AK$22,1))</f>
        <v>103</v>
      </c>
      <c r="J115" s="337"/>
      <c r="K115" s="3"/>
      <c r="L115" s="337">
        <f ca="1">INDEX('AES S-box'!$V$23:$AK$38,MATCH('Decryption Calculations'!L113,'AES S-box'!$U$23:$U$38,1),MATCH('Decryption Calculations'!M113,'AES S-box'!$V$22:$AK$22,1))</f>
        <v>45</v>
      </c>
      <c r="M115" s="337"/>
      <c r="N115" s="3"/>
      <c r="O115" s="3"/>
      <c r="P115" s="3"/>
      <c r="Q115" s="3"/>
      <c r="R115" s="3"/>
      <c r="S115" s="3"/>
      <c r="T115" s="3"/>
      <c r="U115" s="3"/>
      <c r="V115" s="160"/>
    </row>
    <row r="116" spans="2:22" x14ac:dyDescent="0.25">
      <c r="B116" s="161" t="s">
        <v>90</v>
      </c>
      <c r="C116" s="339" t="str">
        <f ca="1">DEC2HEX(C115,2)</f>
        <v>22</v>
      </c>
      <c r="D116" s="339"/>
      <c r="E116" s="3"/>
      <c r="F116" s="339" t="str">
        <f ca="1">DEC2HEX(F115,2)</f>
        <v>68</v>
      </c>
      <c r="G116" s="339"/>
      <c r="H116" s="3"/>
      <c r="I116" s="339" t="str">
        <f ca="1">DEC2HEX(I115,2)</f>
        <v>67</v>
      </c>
      <c r="J116" s="339"/>
      <c r="K116" s="3"/>
      <c r="L116" s="339" t="str">
        <f ca="1">DEC2HEX(L115,2)</f>
        <v>2D</v>
      </c>
      <c r="M116" s="339"/>
      <c r="N116" s="3"/>
      <c r="O116" s="3"/>
      <c r="P116" s="3"/>
      <c r="Q116" s="3"/>
      <c r="R116" s="3"/>
      <c r="S116" s="3"/>
      <c r="T116" s="3"/>
      <c r="U116" s="3"/>
      <c r="V116" s="160"/>
    </row>
    <row r="117" spans="2:22" x14ac:dyDescent="0.25">
      <c r="B117" s="161"/>
      <c r="C117" s="3"/>
      <c r="D117" s="3"/>
      <c r="E117" s="3"/>
      <c r="F117" s="3"/>
      <c r="G117" s="3"/>
      <c r="H117" s="3"/>
      <c r="I117" s="3"/>
      <c r="J117" s="3"/>
      <c r="K117" s="3"/>
      <c r="L117" s="3"/>
      <c r="M117" s="3"/>
      <c r="N117" s="3"/>
      <c r="O117" s="3"/>
      <c r="P117" s="3"/>
      <c r="Q117" s="3"/>
      <c r="R117" s="3"/>
      <c r="S117" s="3"/>
      <c r="T117" s="3"/>
      <c r="U117" s="3"/>
      <c r="V117" s="160"/>
    </row>
    <row r="118" spans="2:22" x14ac:dyDescent="0.25">
      <c r="B118" s="161"/>
      <c r="C118" s="364" t="s">
        <v>10</v>
      </c>
      <c r="D118" s="364"/>
      <c r="E118" s="3"/>
      <c r="F118" s="364" t="s">
        <v>13</v>
      </c>
      <c r="G118" s="364"/>
      <c r="H118" s="3"/>
      <c r="I118" s="364" t="s">
        <v>17</v>
      </c>
      <c r="J118" s="364"/>
      <c r="K118" s="3"/>
      <c r="L118" s="364" t="s">
        <v>18</v>
      </c>
      <c r="M118" s="364"/>
      <c r="N118" s="3"/>
      <c r="O118" s="3"/>
      <c r="P118" s="3"/>
      <c r="Q118" s="3"/>
      <c r="R118" s="3"/>
      <c r="S118" s="3"/>
      <c r="T118" s="3"/>
      <c r="U118" s="3"/>
      <c r="V118" s="160"/>
    </row>
    <row r="119" spans="2:22" s="153" customFormat="1" x14ac:dyDescent="0.25">
      <c r="B119" s="161"/>
      <c r="C119" s="362" t="str">
        <f ca="1">R104</f>
        <v>3B</v>
      </c>
      <c r="D119" s="363"/>
      <c r="E119" s="3"/>
      <c r="F119" s="362" t="str">
        <f ca="1">S104</f>
        <v>02</v>
      </c>
      <c r="G119" s="363"/>
      <c r="H119" s="3"/>
      <c r="I119" s="362" t="str">
        <f ca="1">T104</f>
        <v>21</v>
      </c>
      <c r="J119" s="363"/>
      <c r="K119" s="3"/>
      <c r="L119" s="362" t="str">
        <f ca="1">U104</f>
        <v>71</v>
      </c>
      <c r="M119" s="363"/>
      <c r="N119" s="3"/>
      <c r="O119" s="3"/>
      <c r="P119" s="3"/>
      <c r="Q119" s="3"/>
      <c r="R119" s="3"/>
      <c r="S119" s="3"/>
      <c r="T119" s="3"/>
      <c r="U119" s="3"/>
      <c r="V119" s="160"/>
    </row>
    <row r="120" spans="2:22" x14ac:dyDescent="0.25">
      <c r="B120" s="161"/>
      <c r="C120" s="146" t="str">
        <f ca="1">LEFT(R104,1)&amp;"0"</f>
        <v>30</v>
      </c>
      <c r="D120" s="146" t="str">
        <f ca="1">"0"&amp;RIGHT(R104,1)</f>
        <v>0B</v>
      </c>
      <c r="E120" s="3"/>
      <c r="F120" s="146" t="str">
        <f ca="1">LEFT(S104,1)&amp;"0"</f>
        <v>00</v>
      </c>
      <c r="G120" s="146" t="str">
        <f ca="1">"0"&amp;RIGHT(S104,1)</f>
        <v>02</v>
      </c>
      <c r="H120" s="3"/>
      <c r="I120" s="146" t="str">
        <f ca="1">LEFT(T104,1)&amp;"0"</f>
        <v>20</v>
      </c>
      <c r="J120" s="146" t="str">
        <f ca="1">"0"&amp;RIGHT(T104,1)</f>
        <v>01</v>
      </c>
      <c r="K120" s="3"/>
      <c r="L120" s="146" t="str">
        <f ca="1">LEFT(U104,1)&amp;"0"</f>
        <v>70</v>
      </c>
      <c r="M120" s="146" t="str">
        <f ca="1">"0"&amp;RIGHT(U104,1)</f>
        <v>01</v>
      </c>
      <c r="N120" s="3"/>
      <c r="O120" s="3"/>
      <c r="P120" s="3"/>
      <c r="Q120" s="3"/>
      <c r="R120" s="3"/>
      <c r="S120" s="3"/>
      <c r="T120" s="3"/>
      <c r="U120" s="3"/>
      <c r="V120" s="160"/>
    </row>
    <row r="121" spans="2:22" x14ac:dyDescent="0.25">
      <c r="B121" s="161"/>
      <c r="C121" s="78">
        <f ca="1">HEX2DEC(C120)</f>
        <v>48</v>
      </c>
      <c r="D121" s="78">
        <f ca="1">HEX2DEC(D120)</f>
        <v>11</v>
      </c>
      <c r="E121" s="139"/>
      <c r="F121" s="78">
        <f ca="1">HEX2DEC(F120)</f>
        <v>0</v>
      </c>
      <c r="G121" s="78">
        <f ca="1">HEX2DEC(G120)</f>
        <v>2</v>
      </c>
      <c r="H121" s="139"/>
      <c r="I121" s="78">
        <f ca="1">HEX2DEC(I120)</f>
        <v>32</v>
      </c>
      <c r="J121" s="78">
        <f ca="1">HEX2DEC(J120)</f>
        <v>1</v>
      </c>
      <c r="K121" s="139"/>
      <c r="L121" s="78">
        <f ca="1">HEX2DEC(L120)</f>
        <v>112</v>
      </c>
      <c r="M121" s="78">
        <f ca="1">HEX2DEC(M120)</f>
        <v>1</v>
      </c>
      <c r="N121" s="3"/>
      <c r="O121" s="3"/>
      <c r="P121" s="3"/>
      <c r="Q121" s="3"/>
      <c r="R121" s="3"/>
      <c r="S121" s="3"/>
      <c r="T121" s="3"/>
      <c r="U121" s="3"/>
      <c r="V121" s="160"/>
    </row>
    <row r="122" spans="2:22" x14ac:dyDescent="0.25">
      <c r="B122" s="161"/>
      <c r="C122" s="28"/>
      <c r="D122" s="28"/>
      <c r="E122" s="3"/>
      <c r="F122" s="28"/>
      <c r="G122" s="28"/>
      <c r="H122" s="3"/>
      <c r="I122" s="28"/>
      <c r="J122" s="28"/>
      <c r="K122" s="3"/>
      <c r="L122" s="28"/>
      <c r="M122" s="28"/>
      <c r="N122" s="3"/>
      <c r="O122" s="3"/>
      <c r="P122" s="3"/>
      <c r="Q122" s="3"/>
      <c r="R122" s="3"/>
      <c r="S122" s="3"/>
      <c r="T122" s="3"/>
      <c r="U122" s="3"/>
      <c r="V122" s="160"/>
    </row>
    <row r="123" spans="2:22" ht="15.75" thickBot="1" x14ac:dyDescent="0.3">
      <c r="B123" s="161" t="s">
        <v>255</v>
      </c>
      <c r="C123" s="337">
        <f ca="1">INDEX('AES S-box'!$V$23:$AK$38,MATCH('Decryption Calculations'!C121,'AES S-box'!$U$23:$U$38,1),MATCH('Decryption Calculations'!D121,'AES S-box'!$V$22:$AK$22,1))</f>
        <v>73</v>
      </c>
      <c r="D123" s="337"/>
      <c r="E123" s="3"/>
      <c r="F123" s="337">
        <f ca="1">INDEX('AES S-box'!$V$23:$AK$38,MATCH('Decryption Calculations'!F121,'AES S-box'!$U$23:$U$38,1),MATCH('Decryption Calculations'!G121,'AES S-box'!$V$22:$AK$22,1))</f>
        <v>106</v>
      </c>
      <c r="G123" s="337"/>
      <c r="H123" s="3"/>
      <c r="I123" s="337">
        <f ca="1">INDEX('AES S-box'!$V$23:$AK$38,MATCH('Decryption Calculations'!I121,'AES S-box'!$U$23:$U$38,1),MATCH('Decryption Calculations'!J121,'AES S-box'!$V$22:$AK$22,1))</f>
        <v>123</v>
      </c>
      <c r="J123" s="337"/>
      <c r="K123" s="3"/>
      <c r="L123" s="337">
        <f ca="1">INDEX('AES S-box'!$V$23:$AK$38,MATCH('Decryption Calculations'!L121,'AES S-box'!$U$23:$U$38,1),MATCH('Decryption Calculations'!M121,'AES S-box'!$V$22:$AK$22,1))</f>
        <v>44</v>
      </c>
      <c r="M123" s="337"/>
      <c r="N123" s="3"/>
      <c r="O123" s="3"/>
      <c r="P123" s="3"/>
      <c r="Q123" s="3"/>
      <c r="R123" s="3"/>
      <c r="S123" s="3"/>
      <c r="T123" s="3"/>
      <c r="U123" s="3"/>
      <c r="V123" s="160"/>
    </row>
    <row r="124" spans="2:22" x14ac:dyDescent="0.25">
      <c r="B124" s="161" t="s">
        <v>90</v>
      </c>
      <c r="C124" s="339" t="str">
        <f ca="1">DEC2HEX(C123,2)</f>
        <v>49</v>
      </c>
      <c r="D124" s="339"/>
      <c r="E124" s="3"/>
      <c r="F124" s="339" t="str">
        <f ca="1">DEC2HEX(F123,2)</f>
        <v>6A</v>
      </c>
      <c r="G124" s="339"/>
      <c r="H124" s="3"/>
      <c r="I124" s="339" t="str">
        <f ca="1">DEC2HEX(I123,2)</f>
        <v>7B</v>
      </c>
      <c r="J124" s="339"/>
      <c r="K124" s="3"/>
      <c r="L124" s="339" t="str">
        <f ca="1">DEC2HEX(L123,2)</f>
        <v>2C</v>
      </c>
      <c r="M124" s="339"/>
      <c r="N124" s="3"/>
      <c r="O124" s="3"/>
      <c r="P124" s="3"/>
      <c r="Q124" s="3"/>
      <c r="R124" s="3"/>
      <c r="S124" s="3"/>
      <c r="T124" s="3"/>
      <c r="U124" s="3"/>
      <c r="V124" s="160"/>
    </row>
    <row r="125" spans="2:22" x14ac:dyDescent="0.25">
      <c r="B125" s="161"/>
      <c r="C125" s="3"/>
      <c r="D125" s="3"/>
      <c r="E125" s="3"/>
      <c r="F125" s="3"/>
      <c r="G125" s="3"/>
      <c r="H125" s="3"/>
      <c r="I125" s="3"/>
      <c r="J125" s="3"/>
      <c r="K125" s="3"/>
      <c r="L125" s="3"/>
      <c r="M125" s="3"/>
      <c r="N125" s="3"/>
      <c r="O125" s="3"/>
      <c r="P125" s="3"/>
      <c r="Q125" s="3"/>
      <c r="R125" s="3"/>
      <c r="S125" s="3"/>
      <c r="T125" s="3"/>
      <c r="U125" s="3"/>
      <c r="V125" s="160"/>
    </row>
    <row r="126" spans="2:22" x14ac:dyDescent="0.25">
      <c r="B126" s="161"/>
      <c r="C126" s="364" t="s">
        <v>11</v>
      </c>
      <c r="D126" s="364"/>
      <c r="E126" s="3"/>
      <c r="F126" s="364" t="s">
        <v>14</v>
      </c>
      <c r="G126" s="364"/>
      <c r="H126" s="3"/>
      <c r="I126" s="364" t="s">
        <v>19</v>
      </c>
      <c r="J126" s="364"/>
      <c r="K126" s="3"/>
      <c r="L126" s="364" t="s">
        <v>22</v>
      </c>
      <c r="M126" s="364"/>
      <c r="N126" s="3"/>
      <c r="O126" s="3"/>
      <c r="P126" s="3"/>
      <c r="Q126" s="3"/>
      <c r="R126" s="3"/>
      <c r="S126" s="3"/>
      <c r="T126" s="3"/>
      <c r="U126" s="3"/>
      <c r="V126" s="160"/>
    </row>
    <row r="127" spans="2:22" s="153" customFormat="1" x14ac:dyDescent="0.25">
      <c r="B127" s="161"/>
      <c r="C127" s="362" t="str">
        <f ca="1">R105</f>
        <v>85</v>
      </c>
      <c r="D127" s="363"/>
      <c r="E127" s="3"/>
      <c r="F127" s="362" t="str">
        <f ca="1">S105</f>
        <v>F7</v>
      </c>
      <c r="G127" s="363"/>
      <c r="H127" s="3"/>
      <c r="I127" s="362" t="str">
        <f ca="1">T105</f>
        <v>33</v>
      </c>
      <c r="J127" s="363"/>
      <c r="K127" s="3"/>
      <c r="L127" s="362" t="str">
        <f ca="1">U105</f>
        <v>15</v>
      </c>
      <c r="M127" s="363"/>
      <c r="N127" s="3"/>
      <c r="O127" s="3"/>
      <c r="P127" s="3"/>
      <c r="Q127" s="3"/>
      <c r="R127" s="3"/>
      <c r="S127" s="3"/>
      <c r="T127" s="3"/>
      <c r="U127" s="3"/>
      <c r="V127" s="160"/>
    </row>
    <row r="128" spans="2:22" x14ac:dyDescent="0.25">
      <c r="B128" s="161"/>
      <c r="C128" s="146" t="str">
        <f ca="1">LEFT(R105,1)&amp;"0"</f>
        <v>80</v>
      </c>
      <c r="D128" s="146" t="str">
        <f ca="1">"0"&amp;RIGHT(R105,1)</f>
        <v>05</v>
      </c>
      <c r="E128" s="3"/>
      <c r="F128" s="146" t="str">
        <f ca="1">LEFT(S105,1)&amp;"0"</f>
        <v>F0</v>
      </c>
      <c r="G128" s="146" t="str">
        <f ca="1">"0"&amp;RIGHT(S105,1)</f>
        <v>07</v>
      </c>
      <c r="H128" s="3"/>
      <c r="I128" s="146" t="str">
        <f ca="1">LEFT(T105,1)&amp;"0"</f>
        <v>30</v>
      </c>
      <c r="J128" s="146" t="str">
        <f ca="1">"0"&amp;RIGHT(T105,1)</f>
        <v>03</v>
      </c>
      <c r="K128" s="3"/>
      <c r="L128" s="146" t="str">
        <f ca="1">LEFT(U105,1)&amp;"0"</f>
        <v>10</v>
      </c>
      <c r="M128" s="146" t="str">
        <f ca="1">"0"&amp;RIGHT(U105,1)</f>
        <v>05</v>
      </c>
      <c r="N128" s="3"/>
      <c r="O128" s="3"/>
      <c r="P128" s="3"/>
      <c r="Q128" s="3"/>
      <c r="R128" s="3"/>
      <c r="S128" s="3"/>
      <c r="T128" s="3"/>
      <c r="U128" s="3"/>
      <c r="V128" s="160"/>
    </row>
    <row r="129" spans="2:22" x14ac:dyDescent="0.25">
      <c r="B129" s="161"/>
      <c r="C129" s="78">
        <f ca="1">HEX2DEC(C128)</f>
        <v>128</v>
      </c>
      <c r="D129" s="78">
        <f ca="1">HEX2DEC(D128)</f>
        <v>5</v>
      </c>
      <c r="E129" s="139"/>
      <c r="F129" s="78">
        <f ca="1">HEX2DEC(F128)</f>
        <v>240</v>
      </c>
      <c r="G129" s="78">
        <f ca="1">HEX2DEC(G128)</f>
        <v>7</v>
      </c>
      <c r="H129" s="139"/>
      <c r="I129" s="78">
        <f ca="1">HEX2DEC(I128)</f>
        <v>48</v>
      </c>
      <c r="J129" s="78">
        <f ca="1">HEX2DEC(J128)</f>
        <v>3</v>
      </c>
      <c r="K129" s="139"/>
      <c r="L129" s="78">
        <f ca="1">HEX2DEC(L128)</f>
        <v>16</v>
      </c>
      <c r="M129" s="78">
        <f ca="1">HEX2DEC(M128)</f>
        <v>5</v>
      </c>
      <c r="N129" s="3"/>
      <c r="O129" s="3"/>
      <c r="P129" s="3"/>
      <c r="Q129" s="3"/>
      <c r="R129" s="3"/>
      <c r="S129" s="3"/>
      <c r="T129" s="3"/>
      <c r="U129" s="3"/>
      <c r="V129" s="160"/>
    </row>
    <row r="130" spans="2:22" x14ac:dyDescent="0.25">
      <c r="B130" s="161"/>
      <c r="C130" s="28"/>
      <c r="D130" s="28"/>
      <c r="E130" s="3"/>
      <c r="F130" s="28"/>
      <c r="G130" s="28"/>
      <c r="H130" s="3"/>
      <c r="I130" s="28"/>
      <c r="J130" s="28"/>
      <c r="K130" s="3"/>
      <c r="L130" s="28"/>
      <c r="M130" s="28"/>
      <c r="N130" s="3"/>
      <c r="O130" s="3"/>
      <c r="P130" s="3"/>
      <c r="Q130" s="3"/>
      <c r="R130" s="3"/>
      <c r="S130" s="3"/>
      <c r="T130" s="3"/>
      <c r="U130" s="3"/>
      <c r="V130" s="160"/>
    </row>
    <row r="131" spans="2:22" ht="15.75" thickBot="1" x14ac:dyDescent="0.3">
      <c r="B131" s="161" t="s">
        <v>255</v>
      </c>
      <c r="C131" s="337">
        <f ca="1">INDEX('AES S-box'!$V$23:$AK$38,MATCH('Decryption Calculations'!C129,'AES S-box'!$U$23:$U$38,1),MATCH('Decryption Calculations'!D129,'AES S-box'!$V$22:$AK$22,1))</f>
        <v>103</v>
      </c>
      <c r="D131" s="337"/>
      <c r="E131" s="3"/>
      <c r="F131" s="337">
        <f ca="1">INDEX('AES S-box'!$V$23:$AK$38,MATCH('Decryption Calculations'!F129,'AES S-box'!$U$23:$U$38,1),MATCH('Decryption Calculations'!G129,'AES S-box'!$V$22:$AK$22,1))</f>
        <v>38</v>
      </c>
      <c r="G131" s="337"/>
      <c r="H131" s="3"/>
      <c r="I131" s="337">
        <f ca="1">INDEX('AES S-box'!$V$23:$AK$38,MATCH('Decryption Calculations'!I129,'AES S-box'!$U$23:$U$38,1),MATCH('Decryption Calculations'!J129,'AES S-box'!$V$22:$AK$22,1))</f>
        <v>102</v>
      </c>
      <c r="J131" s="337"/>
      <c r="K131" s="3"/>
      <c r="L131" s="337">
        <f ca="1">INDEX('AES S-box'!$V$23:$AK$38,MATCH('Decryption Calculations'!L129,'AES S-box'!$U$23:$U$38,1),MATCH('Decryption Calculations'!M129,'AES S-box'!$V$22:$AK$22,1))</f>
        <v>47</v>
      </c>
      <c r="M131" s="337"/>
      <c r="N131" s="3"/>
      <c r="O131" s="3"/>
      <c r="P131" s="3"/>
      <c r="Q131" s="3"/>
      <c r="R131" s="3"/>
      <c r="S131" s="3"/>
      <c r="T131" s="3"/>
      <c r="U131" s="3"/>
      <c r="V131" s="160"/>
    </row>
    <row r="132" spans="2:22" x14ac:dyDescent="0.25">
      <c r="B132" s="161" t="s">
        <v>90</v>
      </c>
      <c r="C132" s="339" t="str">
        <f ca="1">DEC2HEX(C131,2)</f>
        <v>67</v>
      </c>
      <c r="D132" s="339"/>
      <c r="E132" s="3"/>
      <c r="F132" s="339" t="str">
        <f ca="1">DEC2HEX(F131,2)</f>
        <v>26</v>
      </c>
      <c r="G132" s="339"/>
      <c r="H132" s="3"/>
      <c r="I132" s="339" t="str">
        <f ca="1">DEC2HEX(I131,2)</f>
        <v>66</v>
      </c>
      <c r="J132" s="339"/>
      <c r="K132" s="3"/>
      <c r="L132" s="339" t="str">
        <f ca="1">DEC2HEX(L131,2)</f>
        <v>2F</v>
      </c>
      <c r="M132" s="339"/>
      <c r="N132" s="3"/>
      <c r="O132" s="3"/>
      <c r="P132" s="3"/>
      <c r="Q132" s="3"/>
      <c r="R132" s="3"/>
      <c r="S132" s="3"/>
      <c r="T132" s="3"/>
      <c r="U132" s="3"/>
      <c r="V132" s="160"/>
    </row>
    <row r="133" spans="2:22" x14ac:dyDescent="0.25">
      <c r="B133" s="161"/>
      <c r="C133" s="3"/>
      <c r="D133" s="3"/>
      <c r="E133" s="3"/>
      <c r="F133" s="3"/>
      <c r="G133" s="3"/>
      <c r="H133" s="3"/>
      <c r="I133" s="3"/>
      <c r="J133" s="3"/>
      <c r="K133" s="3"/>
      <c r="L133" s="3"/>
      <c r="M133" s="3"/>
      <c r="N133" s="3"/>
      <c r="O133" s="3"/>
      <c r="P133" s="3"/>
      <c r="Q133" s="3"/>
      <c r="R133" s="3"/>
      <c r="S133" s="3"/>
      <c r="T133" s="3"/>
      <c r="U133" s="3"/>
      <c r="V133" s="160"/>
    </row>
    <row r="134" spans="2:22" x14ac:dyDescent="0.25">
      <c r="B134" s="161"/>
      <c r="C134" s="3"/>
      <c r="D134" s="3"/>
      <c r="E134" s="3"/>
      <c r="F134" s="3"/>
      <c r="G134" s="3"/>
      <c r="H134" s="3"/>
      <c r="I134" s="3"/>
      <c r="J134" s="3"/>
      <c r="K134" s="3"/>
      <c r="L134" s="3"/>
      <c r="M134" s="3"/>
      <c r="N134" s="3"/>
      <c r="O134" s="3"/>
      <c r="P134" s="3"/>
      <c r="Q134" s="3"/>
      <c r="R134" s="3"/>
      <c r="S134" s="3"/>
      <c r="T134" s="3"/>
      <c r="U134" s="3"/>
      <c r="V134" s="160"/>
    </row>
    <row r="135" spans="2:22" x14ac:dyDescent="0.25">
      <c r="B135" s="161"/>
      <c r="C135" s="364" t="s">
        <v>12</v>
      </c>
      <c r="D135" s="364"/>
      <c r="E135" s="3"/>
      <c r="F135" s="364" t="s">
        <v>15</v>
      </c>
      <c r="G135" s="364"/>
      <c r="H135" s="3"/>
      <c r="I135" s="364" t="s">
        <v>495</v>
      </c>
      <c r="J135" s="364"/>
      <c r="K135" s="3"/>
      <c r="L135" s="364" t="s">
        <v>23</v>
      </c>
      <c r="M135" s="364"/>
      <c r="N135" s="3"/>
      <c r="O135" s="3"/>
      <c r="P135" s="3"/>
      <c r="Q135" s="3"/>
      <c r="R135" s="3"/>
      <c r="S135" s="3"/>
      <c r="T135" s="3"/>
      <c r="U135" s="3"/>
      <c r="V135" s="160"/>
    </row>
    <row r="136" spans="2:22" s="153" customFormat="1" x14ac:dyDescent="0.25">
      <c r="B136" s="161"/>
      <c r="C136" s="362" t="str">
        <f ca="1">R106</f>
        <v>A8</v>
      </c>
      <c r="D136" s="363"/>
      <c r="E136" s="3"/>
      <c r="F136" s="362" t="str">
        <f ca="1">S106</f>
        <v>53</v>
      </c>
      <c r="G136" s="363"/>
      <c r="H136" s="3"/>
      <c r="I136" s="362" t="str">
        <f ca="1">T106</f>
        <v>A8</v>
      </c>
      <c r="J136" s="363"/>
      <c r="K136" s="3"/>
      <c r="L136" s="362" t="str">
        <f ca="1">U106</f>
        <v>D8</v>
      </c>
      <c r="M136" s="363"/>
      <c r="N136" s="3"/>
      <c r="O136" s="3"/>
      <c r="P136" s="3"/>
      <c r="Q136" s="3"/>
      <c r="R136" s="3"/>
      <c r="S136" s="3"/>
      <c r="T136" s="3"/>
      <c r="U136" s="3"/>
      <c r="V136" s="160"/>
    </row>
    <row r="137" spans="2:22" x14ac:dyDescent="0.25">
      <c r="B137" s="161"/>
      <c r="C137" s="146" t="str">
        <f ca="1">LEFT(R106,1)&amp;"0"</f>
        <v>A0</v>
      </c>
      <c r="D137" s="146" t="str">
        <f ca="1">"0"&amp;RIGHT(R106,1)</f>
        <v>08</v>
      </c>
      <c r="E137" s="3"/>
      <c r="F137" s="146" t="str">
        <f ca="1">LEFT(S106,1)&amp;"0"</f>
        <v>50</v>
      </c>
      <c r="G137" s="146" t="str">
        <f ca="1">"0"&amp;RIGHT(S106,1)</f>
        <v>03</v>
      </c>
      <c r="H137" s="3"/>
      <c r="I137" s="146" t="str">
        <f ca="1">LEFT(T106,1)&amp;"0"</f>
        <v>A0</v>
      </c>
      <c r="J137" s="146" t="str">
        <f ca="1">"0"&amp;RIGHT(T106,1)</f>
        <v>08</v>
      </c>
      <c r="K137" s="3"/>
      <c r="L137" s="146" t="str">
        <f ca="1">LEFT(U106,1)&amp;"0"</f>
        <v>D0</v>
      </c>
      <c r="M137" s="146" t="str">
        <f ca="1">"0"&amp;RIGHT(U106,1)</f>
        <v>08</v>
      </c>
      <c r="N137" s="3"/>
      <c r="O137" s="3"/>
      <c r="P137" s="3"/>
      <c r="Q137" s="3"/>
      <c r="R137" s="3"/>
      <c r="S137" s="3"/>
      <c r="T137" s="3"/>
      <c r="U137" s="3"/>
      <c r="V137" s="160"/>
    </row>
    <row r="138" spans="2:22" x14ac:dyDescent="0.25">
      <c r="B138" s="161"/>
      <c r="C138" s="78">
        <f ca="1">HEX2DEC(C137)</f>
        <v>160</v>
      </c>
      <c r="D138" s="78">
        <f ca="1">HEX2DEC(D137)</f>
        <v>8</v>
      </c>
      <c r="E138" s="139"/>
      <c r="F138" s="78">
        <f ca="1">HEX2DEC(F137)</f>
        <v>80</v>
      </c>
      <c r="G138" s="78">
        <f ca="1">HEX2DEC(G137)</f>
        <v>3</v>
      </c>
      <c r="H138" s="139"/>
      <c r="I138" s="78">
        <f ca="1">HEX2DEC(I137)</f>
        <v>160</v>
      </c>
      <c r="J138" s="78">
        <f ca="1">HEX2DEC(J137)</f>
        <v>8</v>
      </c>
      <c r="K138" s="139"/>
      <c r="L138" s="78">
        <f ca="1">HEX2DEC(L137)</f>
        <v>208</v>
      </c>
      <c r="M138" s="78">
        <f ca="1">HEX2DEC(M137)</f>
        <v>8</v>
      </c>
      <c r="N138" s="3"/>
      <c r="O138" s="3"/>
      <c r="P138" s="3"/>
      <c r="Q138" s="3"/>
      <c r="R138" s="3"/>
      <c r="S138" s="3"/>
      <c r="T138" s="3"/>
      <c r="U138" s="3"/>
      <c r="V138" s="160"/>
    </row>
    <row r="139" spans="2:22" x14ac:dyDescent="0.25">
      <c r="B139" s="161"/>
      <c r="C139" s="3"/>
      <c r="D139" s="3"/>
      <c r="E139" s="3"/>
      <c r="F139" s="3"/>
      <c r="G139" s="3"/>
      <c r="H139" s="3"/>
      <c r="I139" s="3"/>
      <c r="J139" s="3"/>
      <c r="K139" s="3"/>
      <c r="L139" s="3"/>
      <c r="M139" s="3"/>
      <c r="N139" s="3"/>
      <c r="O139" s="3"/>
      <c r="P139" s="3"/>
      <c r="Q139" s="3"/>
      <c r="R139" s="3"/>
      <c r="S139" s="3"/>
      <c r="T139" s="3"/>
      <c r="U139" s="3"/>
      <c r="V139" s="160"/>
    </row>
    <row r="140" spans="2:22" ht="15.75" thickBot="1" x14ac:dyDescent="0.3">
      <c r="B140" s="161" t="s">
        <v>255</v>
      </c>
      <c r="C140" s="337">
        <f ca="1">INDEX('AES S-box'!$V$23:$AK$38,MATCH('Decryption Calculations'!C138,'AES S-box'!$U$23:$U$38,1),MATCH('Decryption Calculations'!D138,'AES S-box'!$V$22:$AK$22,1))</f>
        <v>111</v>
      </c>
      <c r="D140" s="337"/>
      <c r="E140" s="3"/>
      <c r="F140" s="337">
        <f ca="1">INDEX('AES S-box'!$V$23:$AK$38,MATCH('Decryption Calculations'!F138,'AES S-box'!$U$23:$U$38,1),MATCH('Decryption Calculations'!G138,'AES S-box'!$V$22:$AK$22,1))</f>
        <v>80</v>
      </c>
      <c r="G140" s="337"/>
      <c r="H140" s="3"/>
      <c r="I140" s="337">
        <f ca="1">INDEX('AES S-box'!$V$23:$AK$38,MATCH('Decryption Calculations'!I138,'AES S-box'!$U$23:$U$38,1),MATCH('Decryption Calculations'!J138,'AES S-box'!$V$22:$AK$22,1))</f>
        <v>111</v>
      </c>
      <c r="J140" s="337"/>
      <c r="K140" s="3"/>
      <c r="L140" s="337">
        <f ca="1">INDEX('AES S-box'!$V$23:$AK$38,MATCH('Decryption Calculations'!L138,'AES S-box'!$U$23:$U$38,1),MATCH('Decryption Calculations'!M138,'AES S-box'!$V$22:$AK$22,1))</f>
        <v>45</v>
      </c>
      <c r="M140" s="337"/>
      <c r="N140" s="3"/>
      <c r="O140" s="3"/>
      <c r="P140" s="3"/>
      <c r="Q140" s="3"/>
      <c r="R140" s="3"/>
      <c r="S140" s="3"/>
      <c r="T140" s="3"/>
      <c r="U140" s="3"/>
      <c r="V140" s="160"/>
    </row>
    <row r="141" spans="2:22" x14ac:dyDescent="0.25">
      <c r="B141" s="161" t="s">
        <v>90</v>
      </c>
      <c r="C141" s="339" t="str">
        <f ca="1">DEC2HEX(C140,2)</f>
        <v>6F</v>
      </c>
      <c r="D141" s="339"/>
      <c r="E141" s="3"/>
      <c r="F141" s="339" t="str">
        <f ca="1">DEC2HEX(F140,2)</f>
        <v>50</v>
      </c>
      <c r="G141" s="339"/>
      <c r="H141" s="3"/>
      <c r="I141" s="339" t="str">
        <f ca="1">DEC2HEX(I140,2)</f>
        <v>6F</v>
      </c>
      <c r="J141" s="339"/>
      <c r="K141" s="3"/>
      <c r="L141" s="339" t="str">
        <f ca="1">DEC2HEX(L140,2)</f>
        <v>2D</v>
      </c>
      <c r="M141" s="339"/>
      <c r="N141" s="3"/>
      <c r="O141" s="3"/>
      <c r="P141" s="3"/>
      <c r="Q141" s="3"/>
      <c r="R141" s="3"/>
      <c r="S141" s="3"/>
      <c r="T141" s="3"/>
      <c r="U141" s="3"/>
      <c r="V141" s="160"/>
    </row>
    <row r="142" spans="2:22" x14ac:dyDescent="0.25">
      <c r="B142" s="159"/>
      <c r="C142" s="3"/>
      <c r="D142" s="3"/>
      <c r="E142" s="3"/>
      <c r="F142" s="3"/>
      <c r="G142" s="3"/>
      <c r="H142" s="3"/>
      <c r="I142" s="3"/>
      <c r="J142" s="3"/>
      <c r="K142" s="3"/>
      <c r="L142" s="3"/>
      <c r="M142" s="3"/>
      <c r="N142" s="3"/>
      <c r="O142" s="3"/>
      <c r="P142" s="3"/>
      <c r="Q142" s="3"/>
      <c r="R142" s="3"/>
      <c r="S142" s="3"/>
      <c r="T142" s="3"/>
      <c r="U142" s="3"/>
      <c r="V142" s="160"/>
    </row>
    <row r="143" spans="2:22" ht="15.75" thickBot="1" x14ac:dyDescent="0.3">
      <c r="B143" s="159"/>
      <c r="C143" s="3"/>
      <c r="D143" s="3"/>
      <c r="E143" s="3"/>
      <c r="F143" s="3"/>
      <c r="G143" s="3"/>
      <c r="H143" s="339" t="s">
        <v>256</v>
      </c>
      <c r="I143" s="339"/>
      <c r="J143" s="339"/>
      <c r="K143" s="339"/>
      <c r="L143" s="3"/>
      <c r="M143" s="339" t="s">
        <v>257</v>
      </c>
      <c r="N143" s="339"/>
      <c r="O143" s="339"/>
      <c r="P143" s="339"/>
      <c r="Q143" s="3"/>
      <c r="R143" s="337" t="s">
        <v>258</v>
      </c>
      <c r="S143" s="339"/>
      <c r="T143" s="339"/>
      <c r="U143" s="337"/>
      <c r="V143" s="160"/>
    </row>
    <row r="144" spans="2:22" x14ac:dyDescent="0.25">
      <c r="B144" s="162"/>
      <c r="C144" s="8" t="s">
        <v>9</v>
      </c>
      <c r="D144" s="139" t="s">
        <v>24</v>
      </c>
      <c r="E144" s="139" t="s">
        <v>16</v>
      </c>
      <c r="F144" s="11" t="s">
        <v>21</v>
      </c>
      <c r="G144" s="88"/>
      <c r="H144" s="8" t="str">
        <f ca="1">_xlfn.BASE(M144,2,8)</f>
        <v>00100010</v>
      </c>
      <c r="I144" s="139" t="str">
        <f t="shared" ref="I144:K147" ca="1" si="172">_xlfn.BASE(N144,2,8)</f>
        <v>01101000</v>
      </c>
      <c r="J144" s="139" t="str">
        <f t="shared" ca="1" si="172"/>
        <v>01100111</v>
      </c>
      <c r="K144" s="11" t="str">
        <f t="shared" ca="1" si="172"/>
        <v>00101101</v>
      </c>
      <c r="L144" s="88"/>
      <c r="M144" s="143">
        <f ca="1">C115</f>
        <v>34</v>
      </c>
      <c r="N144" s="139">
        <f ca="1">F115</f>
        <v>104</v>
      </c>
      <c r="O144" s="139">
        <f ca="1">I115</f>
        <v>103</v>
      </c>
      <c r="P144" s="11">
        <f ca="1">L115</f>
        <v>45</v>
      </c>
      <c r="Q144" s="88"/>
      <c r="R144" s="139" t="str">
        <f t="shared" ref="R144:U147" ca="1" si="173">_xlfn.BASE(M144,16,2)</f>
        <v>22</v>
      </c>
      <c r="S144" s="139" t="str">
        <f t="shared" ca="1" si="173"/>
        <v>68</v>
      </c>
      <c r="T144" s="139" t="str">
        <f t="shared" ca="1" si="173"/>
        <v>67</v>
      </c>
      <c r="U144" s="11" t="str">
        <f t="shared" ca="1" si="173"/>
        <v>2D</v>
      </c>
      <c r="V144" s="160"/>
    </row>
    <row r="145" spans="1:22" x14ac:dyDescent="0.25">
      <c r="B145" s="162"/>
      <c r="C145" s="9" t="s">
        <v>10</v>
      </c>
      <c r="D145" s="139" t="s">
        <v>13</v>
      </c>
      <c r="E145" s="139" t="s">
        <v>17</v>
      </c>
      <c r="F145" s="88" t="s">
        <v>18</v>
      </c>
      <c r="G145" s="41" t="s">
        <v>8</v>
      </c>
      <c r="H145" s="139" t="str">
        <f t="shared" ref="H145:H147" ca="1" si="174">_xlfn.BASE(M145,2,8)</f>
        <v>01001001</v>
      </c>
      <c r="I145" s="139" t="str">
        <f t="shared" ca="1" si="172"/>
        <v>01101010</v>
      </c>
      <c r="J145" s="139" t="str">
        <f t="shared" ca="1" si="172"/>
        <v>01111011</v>
      </c>
      <c r="K145" s="88" t="str">
        <f t="shared" ca="1" si="172"/>
        <v>00101100</v>
      </c>
      <c r="L145" s="40" t="s">
        <v>8</v>
      </c>
      <c r="M145" s="139">
        <f ca="1">C123</f>
        <v>73</v>
      </c>
      <c r="N145" s="139">
        <f ca="1">F123</f>
        <v>106</v>
      </c>
      <c r="O145" s="139">
        <f ca="1">I123</f>
        <v>123</v>
      </c>
      <c r="P145" s="88">
        <f ca="1">L123</f>
        <v>44</v>
      </c>
      <c r="Q145" s="40" t="s">
        <v>8</v>
      </c>
      <c r="R145" s="139" t="str">
        <f t="shared" ca="1" si="173"/>
        <v>49</v>
      </c>
      <c r="S145" s="139" t="str">
        <f t="shared" ca="1" si="173"/>
        <v>6A</v>
      </c>
      <c r="T145" s="139" t="str">
        <f t="shared" ca="1" si="173"/>
        <v>7B</v>
      </c>
      <c r="U145" s="88" t="str">
        <f t="shared" ca="1" si="173"/>
        <v>2C</v>
      </c>
      <c r="V145" s="160"/>
    </row>
    <row r="146" spans="1:22" x14ac:dyDescent="0.25">
      <c r="B146" s="162"/>
      <c r="C146" s="139" t="s">
        <v>11</v>
      </c>
      <c r="D146" s="139" t="s">
        <v>14</v>
      </c>
      <c r="E146" s="139" t="s">
        <v>19</v>
      </c>
      <c r="F146" s="88" t="s">
        <v>22</v>
      </c>
      <c r="G146" s="88"/>
      <c r="H146" s="139" t="str">
        <f t="shared" ca="1" si="174"/>
        <v>01100111</v>
      </c>
      <c r="I146" s="139" t="str">
        <f t="shared" ca="1" si="172"/>
        <v>00100110</v>
      </c>
      <c r="J146" s="139" t="str">
        <f t="shared" ca="1" si="172"/>
        <v>01100110</v>
      </c>
      <c r="K146" s="88" t="str">
        <f t="shared" ca="1" si="172"/>
        <v>00101111</v>
      </c>
      <c r="L146" s="88"/>
      <c r="M146" s="139">
        <f ca="1">C131</f>
        <v>103</v>
      </c>
      <c r="N146" s="139">
        <f ca="1">F131</f>
        <v>38</v>
      </c>
      <c r="O146" s="139">
        <f ca="1">I131</f>
        <v>102</v>
      </c>
      <c r="P146" s="88">
        <f ca="1">L131</f>
        <v>47</v>
      </c>
      <c r="Q146" s="88"/>
      <c r="R146" s="139" t="str">
        <f t="shared" ca="1" si="173"/>
        <v>67</v>
      </c>
      <c r="S146" s="139" t="str">
        <f t="shared" ca="1" si="173"/>
        <v>26</v>
      </c>
      <c r="T146" s="139" t="str">
        <f t="shared" ca="1" si="173"/>
        <v>66</v>
      </c>
      <c r="U146" s="88" t="str">
        <f t="shared" ca="1" si="173"/>
        <v>2F</v>
      </c>
      <c r="V146" s="160"/>
    </row>
    <row r="147" spans="1:22" ht="15.75" thickBot="1" x14ac:dyDescent="0.3">
      <c r="B147" s="162"/>
      <c r="C147" s="16" t="s">
        <v>12</v>
      </c>
      <c r="D147" s="139" t="s">
        <v>15</v>
      </c>
      <c r="E147" s="139" t="s">
        <v>20</v>
      </c>
      <c r="F147" s="88" t="s">
        <v>23</v>
      </c>
      <c r="G147" s="88"/>
      <c r="H147" s="139" t="str">
        <f t="shared" ca="1" si="174"/>
        <v>01101111</v>
      </c>
      <c r="I147" s="139" t="str">
        <f t="shared" ca="1" si="172"/>
        <v>01010000</v>
      </c>
      <c r="J147" s="139" t="str">
        <f t="shared" ca="1" si="172"/>
        <v>01101111</v>
      </c>
      <c r="K147" s="88" t="str">
        <f t="shared" ca="1" si="172"/>
        <v>00101101</v>
      </c>
      <c r="L147" s="88"/>
      <c r="M147" s="16">
        <f ca="1">C140</f>
        <v>111</v>
      </c>
      <c r="N147" s="139">
        <f ca="1">F140</f>
        <v>80</v>
      </c>
      <c r="O147" s="139">
        <f ca="1">I140</f>
        <v>111</v>
      </c>
      <c r="P147" s="14">
        <f ca="1">L140</f>
        <v>45</v>
      </c>
      <c r="Q147" s="88"/>
      <c r="R147" s="139" t="str">
        <f t="shared" ca="1" si="173"/>
        <v>6F</v>
      </c>
      <c r="S147" s="139" t="str">
        <f t="shared" ca="1" si="173"/>
        <v>50</v>
      </c>
      <c r="T147" s="139" t="str">
        <f t="shared" ca="1" si="173"/>
        <v>6F</v>
      </c>
      <c r="U147" s="14" t="str">
        <f t="shared" ca="1" si="173"/>
        <v>2D</v>
      </c>
      <c r="V147" s="160"/>
    </row>
    <row r="148" spans="1:22" x14ac:dyDescent="0.25">
      <c r="B148" s="159"/>
      <c r="C148" s="6"/>
      <c r="D148" s="3"/>
      <c r="E148" s="3"/>
      <c r="F148" s="6"/>
      <c r="G148" s="3"/>
      <c r="H148" s="6"/>
      <c r="I148" s="3"/>
      <c r="J148" s="3"/>
      <c r="K148" s="6"/>
      <c r="L148" s="3"/>
      <c r="M148" s="3"/>
      <c r="N148" s="3"/>
      <c r="O148" s="3"/>
      <c r="P148" s="3"/>
      <c r="Q148" s="3"/>
      <c r="R148" s="6"/>
      <c r="S148" s="3"/>
      <c r="T148" s="3"/>
      <c r="U148" s="6"/>
      <c r="V148" s="160"/>
    </row>
    <row r="149" spans="1:22" s="142" customFormat="1" x14ac:dyDescent="0.25">
      <c r="B149" s="159"/>
      <c r="C149" s="3"/>
      <c r="D149" s="3"/>
      <c r="E149" s="263"/>
      <c r="F149" s="263"/>
      <c r="G149" s="3"/>
      <c r="H149" s="263"/>
      <c r="I149" s="3"/>
      <c r="J149" s="3"/>
      <c r="K149" s="263"/>
      <c r="L149" s="263"/>
      <c r="M149" s="263"/>
      <c r="N149" s="3"/>
      <c r="O149" s="263"/>
      <c r="P149" s="263"/>
      <c r="Q149" s="263"/>
      <c r="R149" s="263"/>
      <c r="S149" s="3"/>
      <c r="T149" s="3"/>
      <c r="U149" s="3"/>
      <c r="V149" s="160"/>
    </row>
    <row r="150" spans="1:22" x14ac:dyDescent="0.25">
      <c r="B150" s="159"/>
      <c r="C150" s="262" t="str" cm="1">
        <f t="array" ref="C150:F150">TRANSPOSE(C144:C147)</f>
        <v>B_0</v>
      </c>
      <c r="D150" s="262" t="str">
        <v>B_1</v>
      </c>
      <c r="E150" s="262" t="str">
        <v>B_2</v>
      </c>
      <c r="F150" s="262" t="str">
        <v>B_3</v>
      </c>
      <c r="G150" s="262" t="str" cm="1">
        <f t="array" ref="G150:J150">TRANSPOSE(D144:D147)</f>
        <v>B_4</v>
      </c>
      <c r="H150" s="262" t="str">
        <v>B_5</v>
      </c>
      <c r="I150" s="262" t="str">
        <v>B_6</v>
      </c>
      <c r="J150" s="262" t="str">
        <v>B_7</v>
      </c>
      <c r="K150" s="262" t="str" cm="1">
        <f t="array" ref="K150:N150">TRANSPOSE(E144:E147)</f>
        <v>B_8</v>
      </c>
      <c r="L150" s="262" t="str">
        <v>B_9</v>
      </c>
      <c r="M150" s="262" t="str">
        <v>B_10</v>
      </c>
      <c r="N150" s="262" t="str">
        <v>B_11</v>
      </c>
      <c r="O150" s="262" t="str" cm="1">
        <f t="array" ref="O150:R150">TRANSPOSE(F144:F147)</f>
        <v>B_12</v>
      </c>
      <c r="P150" s="262" t="str">
        <v>B_13</v>
      </c>
      <c r="Q150" s="262" t="str">
        <v>B_14</v>
      </c>
      <c r="R150" s="262" t="str">
        <v>B_15</v>
      </c>
      <c r="S150" s="3"/>
      <c r="T150" s="3"/>
      <c r="U150" s="3"/>
      <c r="V150" s="160"/>
    </row>
    <row r="151" spans="1:22" x14ac:dyDescent="0.25">
      <c r="B151" s="161" t="s">
        <v>255</v>
      </c>
      <c r="C151" s="139" cm="1">
        <f t="array" aca="1" ref="C151:F151" ca="1">TRANSPOSE(M144:M147)</f>
        <v>34</v>
      </c>
      <c r="D151" s="139">
        <f ca="1"/>
        <v>73</v>
      </c>
      <c r="E151" s="139">
        <f ca="1"/>
        <v>103</v>
      </c>
      <c r="F151" s="139">
        <f ca="1"/>
        <v>111</v>
      </c>
      <c r="G151" s="139" cm="1">
        <f t="array" aca="1" ref="G151:J151" ca="1">TRANSPOSE(N144:N147)</f>
        <v>104</v>
      </c>
      <c r="H151" s="15">
        <f ca="1"/>
        <v>106</v>
      </c>
      <c r="I151" s="139">
        <f ca="1"/>
        <v>38</v>
      </c>
      <c r="J151" s="139">
        <f ca="1"/>
        <v>80</v>
      </c>
      <c r="K151" s="139" cm="1">
        <f t="array" aca="1" ref="K151:N151" ca="1">TRANSPOSE(O144:O147)</f>
        <v>103</v>
      </c>
      <c r="L151" s="139">
        <f ca="1"/>
        <v>123</v>
      </c>
      <c r="M151" s="139">
        <f ca="1"/>
        <v>102</v>
      </c>
      <c r="N151" s="139">
        <f ca="1"/>
        <v>111</v>
      </c>
      <c r="O151" s="139" cm="1">
        <f t="array" aca="1" ref="O151:R151" ca="1">TRANSPOSE(P144:P147)</f>
        <v>45</v>
      </c>
      <c r="P151" s="139">
        <f ca="1"/>
        <v>44</v>
      </c>
      <c r="Q151" s="139">
        <f ca="1"/>
        <v>47</v>
      </c>
      <c r="R151" s="139">
        <f ca="1"/>
        <v>45</v>
      </c>
      <c r="S151" s="3"/>
      <c r="T151" s="3"/>
      <c r="U151" s="3"/>
      <c r="V151" s="160"/>
    </row>
    <row r="152" spans="1:22" ht="15.75" thickBot="1" x14ac:dyDescent="0.3">
      <c r="B152" s="163"/>
      <c r="C152" s="164"/>
      <c r="D152" s="164"/>
      <c r="E152" s="164"/>
      <c r="F152" s="164"/>
      <c r="G152" s="164"/>
      <c r="H152" s="164"/>
      <c r="I152" s="164"/>
      <c r="J152" s="164"/>
      <c r="K152" s="164"/>
      <c r="L152" s="164"/>
      <c r="M152" s="164"/>
      <c r="N152" s="164"/>
      <c r="O152" s="164"/>
      <c r="P152" s="164"/>
      <c r="Q152" s="164"/>
      <c r="R152" s="164"/>
      <c r="S152" s="164"/>
      <c r="T152" s="164"/>
      <c r="U152" s="164"/>
      <c r="V152" s="165"/>
    </row>
    <row r="153" spans="1:22" s="142" customFormat="1" ht="16.5" thickTop="1" thickBot="1" x14ac:dyDescent="0.3">
      <c r="B153" s="287"/>
      <c r="C153" s="287"/>
      <c r="D153" s="287"/>
      <c r="E153" s="287"/>
      <c r="F153" s="287"/>
      <c r="G153" s="287"/>
      <c r="H153" s="287"/>
      <c r="I153" s="287"/>
      <c r="J153" s="287"/>
      <c r="K153" s="287"/>
      <c r="L153" s="287"/>
      <c r="M153" s="287"/>
      <c r="N153" s="287"/>
      <c r="O153" s="287"/>
      <c r="P153" s="287"/>
      <c r="Q153" s="287"/>
      <c r="R153" s="287"/>
      <c r="S153" s="287"/>
      <c r="T153" s="3"/>
      <c r="U153" s="3"/>
      <c r="V153" s="3"/>
    </row>
    <row r="154" spans="1:22" s="315" customFormat="1" ht="15.75" thickTop="1" x14ac:dyDescent="0.25">
      <c r="A154" s="280"/>
      <c r="B154" s="3"/>
      <c r="C154" s="3"/>
      <c r="D154" s="3"/>
      <c r="E154" s="3"/>
      <c r="F154" s="3"/>
      <c r="G154" s="3"/>
      <c r="H154" s="3"/>
      <c r="I154" s="3"/>
      <c r="J154" s="3"/>
      <c r="K154" s="3"/>
      <c r="L154" s="3"/>
      <c r="M154" s="3"/>
      <c r="N154" s="3"/>
      <c r="O154" s="3"/>
      <c r="P154" s="3"/>
      <c r="Q154" s="3"/>
      <c r="R154" s="3"/>
      <c r="S154" s="288"/>
      <c r="T154" s="3"/>
      <c r="U154" s="3"/>
      <c r="V154" s="3"/>
    </row>
    <row r="155" spans="1:22" s="315" customFormat="1" x14ac:dyDescent="0.25">
      <c r="A155" s="280"/>
      <c r="B155" s="3"/>
      <c r="C155" s="3"/>
      <c r="D155" s="3"/>
      <c r="E155" s="3"/>
      <c r="F155" s="3"/>
      <c r="G155" s="3"/>
      <c r="H155" s="3"/>
      <c r="I155" s="3"/>
      <c r="J155" s="3"/>
      <c r="K155" s="3"/>
      <c r="L155" s="3"/>
      <c r="M155" s="3"/>
      <c r="N155" s="3"/>
      <c r="O155" s="3"/>
      <c r="P155" s="3"/>
      <c r="Q155" s="3"/>
      <c r="R155" s="3"/>
      <c r="S155" s="280"/>
      <c r="T155" s="3"/>
      <c r="U155" s="3"/>
      <c r="V155" s="3"/>
    </row>
    <row r="156" spans="1:22" s="315" customFormat="1" x14ac:dyDescent="0.25">
      <c r="A156" s="280"/>
      <c r="B156" s="3"/>
      <c r="C156" s="3"/>
      <c r="D156" s="3"/>
      <c r="E156" s="3"/>
      <c r="F156" s="3"/>
      <c r="G156" s="3"/>
      <c r="H156" s="3"/>
      <c r="I156" s="3"/>
      <c r="J156" s="3"/>
      <c r="K156" s="3"/>
      <c r="L156" s="3"/>
      <c r="M156" s="3"/>
      <c r="N156" s="3"/>
      <c r="O156" s="3"/>
      <c r="P156" s="3"/>
      <c r="Q156" s="3"/>
      <c r="R156" s="3"/>
      <c r="S156" s="280"/>
      <c r="T156" s="3"/>
      <c r="U156" s="3"/>
      <c r="V156" s="3"/>
    </row>
    <row r="157" spans="1:22" s="315" customFormat="1" ht="24" customHeight="1" thickBot="1" x14ac:dyDescent="0.3">
      <c r="A157" s="280"/>
      <c r="B157" s="376" t="s">
        <v>468</v>
      </c>
      <c r="C157" s="341" t="s">
        <v>452</v>
      </c>
      <c r="D157" s="342"/>
      <c r="E157" s="342"/>
      <c r="F157" s="343"/>
      <c r="G157" s="344" t="s">
        <v>453</v>
      </c>
      <c r="H157" s="345"/>
      <c r="I157" s="345"/>
      <c r="J157" s="346"/>
      <c r="K157" s="347" t="s">
        <v>454</v>
      </c>
      <c r="L157" s="348"/>
      <c r="M157" s="348"/>
      <c r="N157" s="349"/>
      <c r="O157" s="350" t="s">
        <v>455</v>
      </c>
      <c r="P157" s="351"/>
      <c r="Q157" s="351"/>
      <c r="R157" s="352"/>
      <c r="S157" s="280"/>
      <c r="T157" s="3"/>
      <c r="U157" s="3"/>
      <c r="V157" s="3"/>
    </row>
    <row r="158" spans="1:22" s="315" customFormat="1" ht="15.75" customHeight="1" thickBot="1" x14ac:dyDescent="0.3">
      <c r="A158" s="280"/>
      <c r="B158" s="376"/>
      <c r="C158" s="47" t="s">
        <v>76</v>
      </c>
      <c r="D158" s="47" t="s">
        <v>77</v>
      </c>
      <c r="E158" s="47" t="s">
        <v>78</v>
      </c>
      <c r="F158" s="47" t="s">
        <v>79</v>
      </c>
      <c r="G158" s="48" t="s">
        <v>456</v>
      </c>
      <c r="H158" s="48" t="s">
        <v>457</v>
      </c>
      <c r="I158" s="48" t="s">
        <v>458</v>
      </c>
      <c r="J158" s="48" t="s">
        <v>459</v>
      </c>
      <c r="K158" s="46" t="s">
        <v>460</v>
      </c>
      <c r="L158" s="46" t="s">
        <v>461</v>
      </c>
      <c r="M158" s="46" t="s">
        <v>462</v>
      </c>
      <c r="N158" s="46" t="s">
        <v>463</v>
      </c>
      <c r="O158" s="49" t="s">
        <v>464</v>
      </c>
      <c r="P158" s="49" t="s">
        <v>465</v>
      </c>
      <c r="Q158" s="49" t="s">
        <v>466</v>
      </c>
      <c r="R158" s="49" t="s">
        <v>467</v>
      </c>
      <c r="S158" s="280"/>
      <c r="T158" s="3"/>
      <c r="U158" s="3"/>
      <c r="V158" s="3"/>
    </row>
    <row r="159" spans="1:22" s="315" customFormat="1" ht="15" customHeight="1" x14ac:dyDescent="0.25">
      <c r="A159" s="280"/>
      <c r="B159" s="376"/>
      <c r="C159" s="57">
        <f ca="1">'Encryption Calculations'!C199</f>
        <v>214</v>
      </c>
      <c r="D159" s="57">
        <f ca="1">'Encryption Calculations'!D199</f>
        <v>170</v>
      </c>
      <c r="E159" s="57">
        <f ca="1">'Encryption Calculations'!E199</f>
        <v>116</v>
      </c>
      <c r="F159" s="57">
        <f ca="1">'Encryption Calculations'!F199</f>
        <v>253</v>
      </c>
      <c r="G159" s="59">
        <f ca="1">'Encryption Calculations'!G199</f>
        <v>210</v>
      </c>
      <c r="H159" s="59">
        <f ca="1">'Encryption Calculations'!H199</f>
        <v>175</v>
      </c>
      <c r="I159" s="59">
        <f ca="1">'Encryption Calculations'!I199</f>
        <v>114</v>
      </c>
      <c r="J159" s="59">
        <f ca="1">'Encryption Calculations'!J199</f>
        <v>250</v>
      </c>
      <c r="K159" s="318">
        <f ca="1">'Encryption Calculations'!K199</f>
        <v>218</v>
      </c>
      <c r="L159" s="318">
        <f ca="1">'Encryption Calculations'!L199</f>
        <v>166</v>
      </c>
      <c r="M159" s="318">
        <f ca="1">'Encryption Calculations'!M199</f>
        <v>120</v>
      </c>
      <c r="N159" s="318">
        <f ca="1">'Encryption Calculations'!N199</f>
        <v>241</v>
      </c>
      <c r="O159" s="58">
        <f ca="1">'Encryption Calculations'!O199</f>
        <v>214</v>
      </c>
      <c r="P159" s="58">
        <f ca="1">'Encryption Calculations'!P199</f>
        <v>171</v>
      </c>
      <c r="Q159" s="58">
        <f ca="1">'Encryption Calculations'!Q199</f>
        <v>118</v>
      </c>
      <c r="R159" s="58">
        <f ca="1">'Encryption Calculations'!R199</f>
        <v>254</v>
      </c>
      <c r="S159" s="280"/>
      <c r="T159" s="3"/>
      <c r="U159" s="3"/>
      <c r="V159" s="3"/>
    </row>
    <row r="160" spans="1:22" s="315" customFormat="1" ht="15" customHeight="1" x14ac:dyDescent="0.25">
      <c r="A160" s="280"/>
      <c r="B160" s="376"/>
      <c r="S160" s="280"/>
    </row>
    <row r="161" spans="1:22" s="315" customFormat="1" ht="15.75" customHeight="1" thickBot="1" x14ac:dyDescent="0.3">
      <c r="A161" s="280"/>
      <c r="B161" s="376"/>
      <c r="C161" s="350" t="s">
        <v>469</v>
      </c>
      <c r="D161" s="351"/>
      <c r="E161" s="351"/>
      <c r="F161" s="352"/>
      <c r="G161" s="341" t="s">
        <v>452</v>
      </c>
      <c r="H161" s="342"/>
      <c r="I161" s="342"/>
      <c r="J161" s="343"/>
      <c r="K161" s="344" t="s">
        <v>453</v>
      </c>
      <c r="L161" s="345"/>
      <c r="M161" s="345"/>
      <c r="N161" s="346"/>
      <c r="O161" s="347" t="s">
        <v>454</v>
      </c>
      <c r="P161" s="348"/>
      <c r="Q161" s="348"/>
      <c r="R161" s="349"/>
      <c r="S161" s="280"/>
      <c r="T161" s="3"/>
      <c r="U161" s="3"/>
      <c r="V161" s="3"/>
    </row>
    <row r="162" spans="1:22" s="315" customFormat="1" ht="15.75" customHeight="1" thickBot="1" x14ac:dyDescent="0.3">
      <c r="A162" s="280"/>
      <c r="B162" s="376"/>
      <c r="C162" s="49" t="s">
        <v>449</v>
      </c>
      <c r="D162" s="49" t="s">
        <v>450</v>
      </c>
      <c r="E162" s="49" t="s">
        <v>430</v>
      </c>
      <c r="F162" s="49" t="s">
        <v>451</v>
      </c>
      <c r="G162" s="47" t="s">
        <v>76</v>
      </c>
      <c r="H162" s="47" t="s">
        <v>77</v>
      </c>
      <c r="I162" s="47" t="s">
        <v>78</v>
      </c>
      <c r="J162" s="47" t="s">
        <v>79</v>
      </c>
      <c r="K162" s="48" t="s">
        <v>456</v>
      </c>
      <c r="L162" s="48" t="s">
        <v>457</v>
      </c>
      <c r="M162" s="48" t="s">
        <v>458</v>
      </c>
      <c r="N162" s="48" t="s">
        <v>459</v>
      </c>
      <c r="O162" s="46" t="s">
        <v>460</v>
      </c>
      <c r="P162" s="46" t="s">
        <v>461</v>
      </c>
      <c r="Q162" s="46" t="s">
        <v>462</v>
      </c>
      <c r="R162" s="46" t="s">
        <v>463</v>
      </c>
      <c r="S162" s="280"/>
      <c r="T162" s="3"/>
      <c r="U162" s="3"/>
      <c r="V162" s="3"/>
    </row>
    <row r="163" spans="1:22" s="315" customFormat="1" ht="15" customHeight="1" x14ac:dyDescent="0.25">
      <c r="A163" s="280"/>
      <c r="B163" s="376"/>
      <c r="C163" s="58">
        <f ca="1">'Encryption Calculations'!C195</f>
        <v>214</v>
      </c>
      <c r="D163" s="58">
        <f ca="1">'Encryption Calculations'!D195</f>
        <v>171</v>
      </c>
      <c r="E163" s="58">
        <f ca="1">'Encryption Calculations'!E195</f>
        <v>118</v>
      </c>
      <c r="F163" s="58">
        <f ca="1">'Encryption Calculations'!F195</f>
        <v>254</v>
      </c>
      <c r="G163" s="57">
        <f ca="1">C159</f>
        <v>214</v>
      </c>
      <c r="H163" s="57">
        <f t="shared" ref="H163:R163" ca="1" si="175">D159</f>
        <v>170</v>
      </c>
      <c r="I163" s="57">
        <f t="shared" ca="1" si="175"/>
        <v>116</v>
      </c>
      <c r="J163" s="57">
        <f t="shared" ca="1" si="175"/>
        <v>253</v>
      </c>
      <c r="K163" s="59">
        <f t="shared" ca="1" si="175"/>
        <v>210</v>
      </c>
      <c r="L163" s="59">
        <f t="shared" ca="1" si="175"/>
        <v>175</v>
      </c>
      <c r="M163" s="59">
        <f t="shared" ca="1" si="175"/>
        <v>114</v>
      </c>
      <c r="N163" s="59">
        <f t="shared" ca="1" si="175"/>
        <v>250</v>
      </c>
      <c r="O163" s="318">
        <f t="shared" ca="1" si="175"/>
        <v>218</v>
      </c>
      <c r="P163" s="318">
        <f t="shared" ca="1" si="175"/>
        <v>166</v>
      </c>
      <c r="Q163" s="318">
        <f t="shared" ca="1" si="175"/>
        <v>120</v>
      </c>
      <c r="R163" s="318">
        <f t="shared" ca="1" si="175"/>
        <v>241</v>
      </c>
      <c r="S163" s="280"/>
      <c r="T163" s="3"/>
      <c r="U163" s="3"/>
      <c r="V163" s="3"/>
    </row>
    <row r="164" spans="1:22" s="315" customFormat="1" ht="26.25" customHeight="1" x14ac:dyDescent="0.25">
      <c r="A164" s="280"/>
      <c r="B164" s="376"/>
      <c r="C164" s="3"/>
      <c r="D164" s="3"/>
      <c r="E164" s="3"/>
      <c r="F164" s="3"/>
      <c r="G164" s="3"/>
      <c r="H164" s="3"/>
      <c r="I164" s="3"/>
      <c r="J164" s="3"/>
      <c r="K164" s="3"/>
      <c r="L164" s="3"/>
      <c r="M164" s="3"/>
      <c r="N164" s="3"/>
      <c r="O164" s="3"/>
      <c r="P164" s="3"/>
      <c r="Q164" s="3"/>
      <c r="R164" s="3"/>
      <c r="S164" s="280"/>
      <c r="T164" s="3"/>
      <c r="U164" s="3"/>
      <c r="V164" s="3"/>
    </row>
    <row r="165" spans="1:22" s="315" customFormat="1" ht="27" customHeight="1" thickBot="1" x14ac:dyDescent="0.3">
      <c r="A165" s="280"/>
      <c r="B165" s="376"/>
      <c r="C165" s="341" t="s">
        <v>441</v>
      </c>
      <c r="D165" s="342"/>
      <c r="E165" s="342"/>
      <c r="F165" s="343"/>
      <c r="G165" s="344" t="s">
        <v>442</v>
      </c>
      <c r="H165" s="345"/>
      <c r="I165" s="345"/>
      <c r="J165" s="346"/>
      <c r="K165" s="347" t="s">
        <v>443</v>
      </c>
      <c r="L165" s="348"/>
      <c r="M165" s="348"/>
      <c r="N165" s="349"/>
      <c r="O165" s="350" t="s">
        <v>444</v>
      </c>
      <c r="P165" s="351"/>
      <c r="Q165" s="351"/>
      <c r="R165" s="352"/>
      <c r="S165" s="280"/>
      <c r="T165" s="3"/>
      <c r="U165" s="3"/>
      <c r="V165" s="3"/>
    </row>
    <row r="166" spans="1:22" s="315" customFormat="1" ht="27" customHeight="1" thickBot="1" x14ac:dyDescent="0.3">
      <c r="A166" s="280"/>
      <c r="B166" s="376"/>
      <c r="C166" s="47" t="s">
        <v>426</v>
      </c>
      <c r="D166" s="47" t="s">
        <v>427</v>
      </c>
      <c r="E166" s="47" t="s">
        <v>428</v>
      </c>
      <c r="F166" s="47" t="s">
        <v>429</v>
      </c>
      <c r="G166" s="48" t="s">
        <v>247</v>
      </c>
      <c r="H166" s="48" t="s">
        <v>248</v>
      </c>
      <c r="I166" s="48" t="s">
        <v>249</v>
      </c>
      <c r="J166" s="48" t="s">
        <v>250</v>
      </c>
      <c r="K166" s="46" t="s">
        <v>445</v>
      </c>
      <c r="L166" s="46" t="s">
        <v>446</v>
      </c>
      <c r="M166" s="46" t="s">
        <v>447</v>
      </c>
      <c r="N166" s="46" t="s">
        <v>448</v>
      </c>
      <c r="O166" s="49" t="s">
        <v>449</v>
      </c>
      <c r="P166" s="49" t="s">
        <v>450</v>
      </c>
      <c r="Q166" s="49" t="s">
        <v>430</v>
      </c>
      <c r="R166" s="49" t="s">
        <v>451</v>
      </c>
      <c r="S166" s="280"/>
      <c r="T166" s="3"/>
      <c r="U166" s="3"/>
      <c r="V166" s="3"/>
    </row>
    <row r="167" spans="1:22" s="315" customFormat="1" ht="23.25" customHeight="1" x14ac:dyDescent="0.25">
      <c r="A167" s="280"/>
      <c r="B167" s="376"/>
      <c r="C167" s="314">
        <f ca="1">_xlfn.BITXOR(C159,C163)</f>
        <v>0</v>
      </c>
      <c r="D167" s="314">
        <f t="shared" ref="D167:Q167" ca="1" si="176">_xlfn.BITXOR(D159,D163)</f>
        <v>1</v>
      </c>
      <c r="E167" s="314">
        <f t="shared" ca="1" si="176"/>
        <v>2</v>
      </c>
      <c r="F167" s="314">
        <f t="shared" ca="1" si="176"/>
        <v>3</v>
      </c>
      <c r="G167" s="314">
        <f ca="1">_xlfn.BITXOR(G159,G163)</f>
        <v>4</v>
      </c>
      <c r="H167" s="314">
        <f t="shared" ca="1" si="176"/>
        <v>5</v>
      </c>
      <c r="I167" s="314">
        <f t="shared" ca="1" si="176"/>
        <v>6</v>
      </c>
      <c r="J167" s="314">
        <f t="shared" ca="1" si="176"/>
        <v>7</v>
      </c>
      <c r="K167" s="314">
        <f t="shared" ca="1" si="176"/>
        <v>8</v>
      </c>
      <c r="L167" s="314">
        <f t="shared" ca="1" si="176"/>
        <v>9</v>
      </c>
      <c r="M167" s="314">
        <f t="shared" ca="1" si="176"/>
        <v>10</v>
      </c>
      <c r="N167" s="314">
        <f t="shared" ca="1" si="176"/>
        <v>11</v>
      </c>
      <c r="O167" s="314">
        <f t="shared" ca="1" si="176"/>
        <v>12</v>
      </c>
      <c r="P167" s="314">
        <f t="shared" ca="1" si="176"/>
        <v>13</v>
      </c>
      <c r="Q167" s="314">
        <f t="shared" ca="1" si="176"/>
        <v>14</v>
      </c>
      <c r="R167" s="314">
        <f ca="1">_xlfn.BITXOR(R159,R163)</f>
        <v>15</v>
      </c>
      <c r="S167" s="280"/>
      <c r="T167" s="3"/>
      <c r="U167" s="3"/>
      <c r="V167" s="3"/>
    </row>
    <row r="168" spans="1:22" x14ac:dyDescent="0.25">
      <c r="A168" s="280"/>
      <c r="B168" s="3"/>
      <c r="C168" s="339" t="s">
        <v>2</v>
      </c>
      <c r="D168" s="339"/>
      <c r="E168" s="339"/>
      <c r="F168" s="339"/>
      <c r="G168" s="339"/>
      <c r="H168" s="339"/>
      <c r="I168" s="339"/>
      <c r="J168" s="339"/>
      <c r="K168" s="339"/>
      <c r="L168" s="339"/>
      <c r="M168" s="339"/>
      <c r="N168" s="339"/>
      <c r="O168" s="339"/>
      <c r="P168" s="339"/>
      <c r="Q168" s="339"/>
      <c r="R168" s="339"/>
      <c r="S168" s="280"/>
    </row>
    <row r="169" spans="1:22" x14ac:dyDescent="0.25">
      <c r="A169" s="280"/>
      <c r="B169" s="3"/>
      <c r="C169" s="339" t="s">
        <v>1</v>
      </c>
      <c r="D169" s="339"/>
      <c r="E169" s="339"/>
      <c r="F169" s="339"/>
      <c r="G169" s="339"/>
      <c r="H169" s="339"/>
      <c r="I169" s="339"/>
      <c r="J169" s="339"/>
      <c r="K169" s="339"/>
      <c r="L169" s="339"/>
      <c r="M169" s="339"/>
      <c r="N169" s="339"/>
      <c r="O169" s="339"/>
      <c r="P169" s="339"/>
      <c r="Q169" s="339"/>
      <c r="R169" s="339"/>
      <c r="S169" s="280"/>
    </row>
    <row r="170" spans="1:22" ht="15.75" thickBot="1" x14ac:dyDescent="0.3">
      <c r="A170" s="280"/>
      <c r="B170" s="4"/>
      <c r="C170" s="341" t="s">
        <v>441</v>
      </c>
      <c r="D170" s="342"/>
      <c r="E170" s="342"/>
      <c r="F170" s="343"/>
      <c r="G170" s="344" t="s">
        <v>442</v>
      </c>
      <c r="H170" s="345"/>
      <c r="I170" s="345"/>
      <c r="J170" s="346"/>
      <c r="K170" s="347" t="s">
        <v>443</v>
      </c>
      <c r="L170" s="348"/>
      <c r="M170" s="348"/>
      <c r="N170" s="349"/>
      <c r="O170" s="350" t="s">
        <v>444</v>
      </c>
      <c r="P170" s="351"/>
      <c r="Q170" s="351"/>
      <c r="R170" s="352"/>
      <c r="S170" s="280"/>
    </row>
    <row r="171" spans="1:22" ht="24" thickBot="1" x14ac:dyDescent="0.3">
      <c r="A171" s="280"/>
      <c r="B171" s="319" t="s">
        <v>0</v>
      </c>
      <c r="C171" s="47" t="s">
        <v>426</v>
      </c>
      <c r="D171" s="47" t="s">
        <v>427</v>
      </c>
      <c r="E171" s="47" t="s">
        <v>428</v>
      </c>
      <c r="F171" s="47" t="s">
        <v>429</v>
      </c>
      <c r="G171" s="48" t="s">
        <v>247</v>
      </c>
      <c r="H171" s="48" t="s">
        <v>248</v>
      </c>
      <c r="I171" s="48" t="s">
        <v>249</v>
      </c>
      <c r="J171" s="48" t="s">
        <v>250</v>
      </c>
      <c r="K171" s="46" t="s">
        <v>445</v>
      </c>
      <c r="L171" s="46" t="s">
        <v>446</v>
      </c>
      <c r="M171" s="46" t="s">
        <v>447</v>
      </c>
      <c r="N171" s="46" t="s">
        <v>448</v>
      </c>
      <c r="O171" s="49" t="s">
        <v>449</v>
      </c>
      <c r="P171" s="49" t="s">
        <v>450</v>
      </c>
      <c r="Q171" s="49" t="s">
        <v>430</v>
      </c>
      <c r="R171" s="49" t="s">
        <v>451</v>
      </c>
      <c r="S171" s="280"/>
    </row>
    <row r="172" spans="1:22" ht="23.25" x14ac:dyDescent="0.35">
      <c r="A172" s="280"/>
      <c r="B172" s="289"/>
      <c r="C172" s="52">
        <f t="shared" ref="C172:Q172" ca="1" si="177">C167</f>
        <v>0</v>
      </c>
      <c r="D172" s="52">
        <f t="shared" ca="1" si="177"/>
        <v>1</v>
      </c>
      <c r="E172" s="52">
        <f t="shared" ca="1" si="177"/>
        <v>2</v>
      </c>
      <c r="F172" s="52">
        <f t="shared" ca="1" si="177"/>
        <v>3</v>
      </c>
      <c r="G172" s="53">
        <f t="shared" ca="1" si="177"/>
        <v>4</v>
      </c>
      <c r="H172" s="53">
        <f t="shared" ca="1" si="177"/>
        <v>5</v>
      </c>
      <c r="I172" s="53">
        <f t="shared" ca="1" si="177"/>
        <v>6</v>
      </c>
      <c r="J172" s="53">
        <f t="shared" ca="1" si="177"/>
        <v>7</v>
      </c>
      <c r="K172" s="54">
        <f t="shared" ca="1" si="177"/>
        <v>8</v>
      </c>
      <c r="L172" s="54">
        <f t="shared" ca="1" si="177"/>
        <v>9</v>
      </c>
      <c r="M172" s="54">
        <f t="shared" ca="1" si="177"/>
        <v>10</v>
      </c>
      <c r="N172" s="54">
        <f t="shared" ca="1" si="177"/>
        <v>11</v>
      </c>
      <c r="O172" s="56">
        <f t="shared" ca="1" si="177"/>
        <v>12</v>
      </c>
      <c r="P172" s="56">
        <f t="shared" ca="1" si="177"/>
        <v>13</v>
      </c>
      <c r="Q172" s="56">
        <f t="shared" ca="1" si="177"/>
        <v>14</v>
      </c>
      <c r="R172" s="56">
        <f ca="1">R167</f>
        <v>15</v>
      </c>
      <c r="S172" s="280"/>
    </row>
    <row r="173" spans="1:22" ht="23.25" x14ac:dyDescent="0.35">
      <c r="A173" s="280"/>
      <c r="B173" s="289"/>
      <c r="C173" s="139"/>
      <c r="D173" s="139"/>
      <c r="E173" s="139"/>
      <c r="F173" s="139"/>
      <c r="G173" s="139"/>
      <c r="H173" s="139"/>
      <c r="I173" s="139"/>
      <c r="J173" s="139"/>
      <c r="K173" s="139"/>
      <c r="L173" s="139"/>
      <c r="M173" s="139"/>
      <c r="N173" s="139"/>
      <c r="O173" s="139"/>
      <c r="P173" s="139"/>
      <c r="Q173" s="139"/>
      <c r="R173" s="139"/>
      <c r="S173" s="280"/>
    </row>
    <row r="174" spans="1:22" ht="26.25" x14ac:dyDescent="0.4">
      <c r="A174" s="280"/>
      <c r="B174" s="120" t="s">
        <v>434</v>
      </c>
      <c r="C174" s="141">
        <f t="shared" ref="C174:R174" ca="1" si="178">_xlfn.BITXOR(C151,C172)</f>
        <v>34</v>
      </c>
      <c r="D174" s="141">
        <f t="shared" ca="1" si="178"/>
        <v>72</v>
      </c>
      <c r="E174" s="141">
        <f t="shared" ca="1" si="178"/>
        <v>101</v>
      </c>
      <c r="F174" s="141">
        <f t="shared" ca="1" si="178"/>
        <v>108</v>
      </c>
      <c r="G174" s="141">
        <f t="shared" ca="1" si="178"/>
        <v>108</v>
      </c>
      <c r="H174" s="141">
        <f t="shared" ca="1" si="178"/>
        <v>111</v>
      </c>
      <c r="I174" s="141">
        <f t="shared" ca="1" si="178"/>
        <v>32</v>
      </c>
      <c r="J174" s="141">
        <f t="shared" ca="1" si="178"/>
        <v>87</v>
      </c>
      <c r="K174" s="141">
        <f t="shared" ca="1" si="178"/>
        <v>111</v>
      </c>
      <c r="L174" s="141">
        <f t="shared" ca="1" si="178"/>
        <v>114</v>
      </c>
      <c r="M174" s="141">
        <f t="shared" ca="1" si="178"/>
        <v>108</v>
      </c>
      <c r="N174" s="141">
        <f t="shared" ca="1" si="178"/>
        <v>100</v>
      </c>
      <c r="O174" s="141">
        <f t="shared" ca="1" si="178"/>
        <v>33</v>
      </c>
      <c r="P174" s="141">
        <f t="shared" ca="1" si="178"/>
        <v>33</v>
      </c>
      <c r="Q174" s="141">
        <f t="shared" ca="1" si="178"/>
        <v>33</v>
      </c>
      <c r="R174" s="141">
        <f t="shared" ca="1" si="178"/>
        <v>34</v>
      </c>
      <c r="S174" s="280"/>
    </row>
    <row r="175" spans="1:22" ht="24" thickBot="1" x14ac:dyDescent="0.4">
      <c r="A175" s="280"/>
      <c r="B175" s="292"/>
      <c r="C175" s="293"/>
      <c r="D175" s="293"/>
      <c r="E175" s="293"/>
      <c r="F175" s="293"/>
      <c r="G175" s="293"/>
      <c r="H175" s="293"/>
      <c r="I175" s="293"/>
      <c r="J175" s="293"/>
      <c r="K175" s="293"/>
      <c r="L175" s="293"/>
      <c r="M175" s="293"/>
      <c r="N175" s="293"/>
      <c r="O175" s="293"/>
      <c r="P175" s="293"/>
      <c r="Q175" s="293"/>
      <c r="R175" s="293"/>
      <c r="S175" s="291"/>
    </row>
    <row r="176" spans="1:22" ht="24.75" thickTop="1" thickBot="1" x14ac:dyDescent="0.4">
      <c r="A176" s="3"/>
      <c r="B176" s="311"/>
      <c r="C176" s="312"/>
      <c r="D176" s="312"/>
      <c r="E176" s="312"/>
      <c r="F176" s="312"/>
      <c r="G176" s="312"/>
      <c r="H176" s="312"/>
      <c r="I176" s="312"/>
      <c r="J176" s="312"/>
      <c r="K176" s="312"/>
      <c r="L176" s="312"/>
      <c r="M176" s="312"/>
      <c r="N176" s="312"/>
      <c r="O176" s="312"/>
      <c r="P176" s="312"/>
      <c r="Q176" s="312"/>
      <c r="R176" s="312"/>
      <c r="S176" s="313"/>
      <c r="T176" s="3"/>
    </row>
    <row r="177" spans="1:20" s="153" customFormat="1" ht="29.25" thickTop="1" x14ac:dyDescent="0.45">
      <c r="A177" s="3"/>
      <c r="B177" s="310" t="s">
        <v>440</v>
      </c>
      <c r="C177" s="152"/>
      <c r="D177" s="152"/>
      <c r="E177" s="152"/>
      <c r="F177" s="152"/>
      <c r="G177" s="152"/>
      <c r="H177" s="152"/>
      <c r="I177" s="152"/>
      <c r="J177" s="152"/>
      <c r="K177" s="152"/>
      <c r="L177" s="152"/>
      <c r="M177" s="152"/>
      <c r="N177" s="152"/>
      <c r="O177" s="152"/>
      <c r="P177" s="152"/>
      <c r="Q177" s="152"/>
      <c r="R177" s="152"/>
      <c r="S177" s="3"/>
      <c r="T177" s="196"/>
    </row>
    <row r="178" spans="1:20" ht="23.25" x14ac:dyDescent="0.35">
      <c r="A178" s="3"/>
      <c r="B178" s="294" t="s">
        <v>6</v>
      </c>
      <c r="C178" s="151">
        <v>1</v>
      </c>
      <c r="D178" s="151">
        <v>2</v>
      </c>
      <c r="E178" s="151">
        <v>3</v>
      </c>
      <c r="F178" s="151">
        <v>4</v>
      </c>
      <c r="G178" s="151">
        <v>5</v>
      </c>
      <c r="H178" s="151">
        <v>6</v>
      </c>
      <c r="I178" s="151">
        <v>7</v>
      </c>
      <c r="J178" s="151">
        <v>8</v>
      </c>
      <c r="K178" s="151">
        <v>9</v>
      </c>
      <c r="L178" s="151">
        <v>10</v>
      </c>
      <c r="M178" s="151">
        <v>11</v>
      </c>
      <c r="N178" s="151">
        <v>12</v>
      </c>
      <c r="O178" s="151">
        <v>13</v>
      </c>
      <c r="P178" s="151">
        <v>14</v>
      </c>
      <c r="Q178" s="151">
        <v>15</v>
      </c>
      <c r="R178" s="151">
        <v>16</v>
      </c>
      <c r="S178" s="197"/>
    </row>
    <row r="179" spans="1:20" ht="23.25" x14ac:dyDescent="0.35">
      <c r="A179" s="3"/>
      <c r="B179" s="294" t="s">
        <v>491</v>
      </c>
      <c r="C179" s="151">
        <f ca="1">C174</f>
        <v>34</v>
      </c>
      <c r="D179" s="151">
        <f t="shared" ref="C179:R179" ca="1" si="179">D174</f>
        <v>72</v>
      </c>
      <c r="E179" s="151">
        <f t="shared" ca="1" si="179"/>
        <v>101</v>
      </c>
      <c r="F179" s="151">
        <f t="shared" ca="1" si="179"/>
        <v>108</v>
      </c>
      <c r="G179" s="151">
        <f t="shared" ca="1" si="179"/>
        <v>108</v>
      </c>
      <c r="H179" s="151">
        <f t="shared" ca="1" si="179"/>
        <v>111</v>
      </c>
      <c r="I179" s="151">
        <f t="shared" ca="1" si="179"/>
        <v>32</v>
      </c>
      <c r="J179" s="151">
        <f t="shared" ca="1" si="179"/>
        <v>87</v>
      </c>
      <c r="K179" s="151">
        <f t="shared" ca="1" si="179"/>
        <v>111</v>
      </c>
      <c r="L179" s="151">
        <f t="shared" ca="1" si="179"/>
        <v>114</v>
      </c>
      <c r="M179" s="151">
        <f t="shared" ca="1" si="179"/>
        <v>108</v>
      </c>
      <c r="N179" s="151">
        <f t="shared" ca="1" si="179"/>
        <v>100</v>
      </c>
      <c r="O179" s="151">
        <f t="shared" ca="1" si="179"/>
        <v>33</v>
      </c>
      <c r="P179" s="151">
        <f t="shared" ca="1" si="179"/>
        <v>33</v>
      </c>
      <c r="Q179" s="151">
        <f t="shared" ca="1" si="179"/>
        <v>33</v>
      </c>
      <c r="R179" s="151">
        <f t="shared" ca="1" si="179"/>
        <v>34</v>
      </c>
      <c r="S179" s="197"/>
    </row>
    <row r="180" spans="1:20" ht="23.25" x14ac:dyDescent="0.35">
      <c r="A180" s="3"/>
      <c r="B180" s="295"/>
      <c r="C180" s="3"/>
      <c r="D180" s="3"/>
      <c r="E180" s="3"/>
      <c r="F180" s="3"/>
      <c r="G180" s="3"/>
      <c r="H180" s="3"/>
      <c r="I180" s="3"/>
      <c r="J180" s="3"/>
      <c r="K180" s="3"/>
      <c r="L180" s="3"/>
      <c r="M180" s="3"/>
      <c r="N180" s="3"/>
      <c r="O180" s="3"/>
      <c r="P180" s="3"/>
      <c r="Q180" s="3"/>
      <c r="R180" s="3"/>
      <c r="S180" s="197"/>
    </row>
    <row r="181" spans="1:20" ht="23.25" x14ac:dyDescent="0.35">
      <c r="A181" s="3"/>
      <c r="B181" s="294" t="s">
        <v>5</v>
      </c>
      <c r="C181" s="151" t="str">
        <f ca="1">CHAR(C179)</f>
        <v>"</v>
      </c>
      <c r="D181" s="151" t="str">
        <f t="shared" ref="D181:R181" ca="1" si="180">CHAR(D179)</f>
        <v>H</v>
      </c>
      <c r="E181" s="151" t="str">
        <f ca="1">CHAR(E179)</f>
        <v>e</v>
      </c>
      <c r="F181" s="151" t="str">
        <f t="shared" ca="1" si="180"/>
        <v>l</v>
      </c>
      <c r="G181" s="151" t="str">
        <f t="shared" ca="1" si="180"/>
        <v>l</v>
      </c>
      <c r="H181" s="151" t="str">
        <f t="shared" ca="1" si="180"/>
        <v>o</v>
      </c>
      <c r="I181" s="151" t="str">
        <f t="shared" ca="1" si="180"/>
        <v xml:space="preserve"> </v>
      </c>
      <c r="J181" s="151" t="str">
        <f t="shared" ca="1" si="180"/>
        <v>W</v>
      </c>
      <c r="K181" s="151" t="str">
        <f t="shared" ca="1" si="180"/>
        <v>o</v>
      </c>
      <c r="L181" s="151" t="str">
        <f t="shared" ca="1" si="180"/>
        <v>r</v>
      </c>
      <c r="M181" s="151" t="str">
        <f t="shared" ca="1" si="180"/>
        <v>l</v>
      </c>
      <c r="N181" s="151" t="str">
        <f t="shared" ca="1" si="180"/>
        <v>d</v>
      </c>
      <c r="O181" s="151" t="str">
        <f t="shared" ca="1" si="180"/>
        <v>!</v>
      </c>
      <c r="P181" s="151" t="str">
        <f t="shared" ca="1" si="180"/>
        <v>!</v>
      </c>
      <c r="Q181" s="151" t="str">
        <f t="shared" ca="1" si="180"/>
        <v>!</v>
      </c>
      <c r="R181" s="151" t="str">
        <f t="shared" ca="1" si="180"/>
        <v>"</v>
      </c>
      <c r="S181" s="197"/>
    </row>
    <row r="182" spans="1:20" x14ac:dyDescent="0.25">
      <c r="A182" s="3"/>
      <c r="B182" s="196"/>
      <c r="C182" s="3"/>
      <c r="D182" s="3"/>
      <c r="E182" s="3"/>
      <c r="F182" s="3"/>
      <c r="G182" s="3"/>
      <c r="H182" s="3"/>
      <c r="I182" s="3"/>
      <c r="J182" s="3"/>
      <c r="K182" s="3"/>
      <c r="L182" s="3"/>
      <c r="M182" s="3"/>
      <c r="N182" s="3"/>
      <c r="O182" s="3"/>
      <c r="P182" s="3"/>
      <c r="Q182" s="3"/>
      <c r="R182" s="3"/>
      <c r="S182" s="197"/>
    </row>
    <row r="183" spans="1:20" ht="28.5" x14ac:dyDescent="0.45">
      <c r="A183" s="3"/>
      <c r="B183" s="296" t="s">
        <v>320</v>
      </c>
      <c r="C183" s="379" t="str">
        <f ca="1">_xlfn.CONCAT(C181:R181)</f>
        <v>"Hello World!!!"</v>
      </c>
      <c r="D183" s="379"/>
      <c r="E183" s="379"/>
      <c r="F183" s="3"/>
      <c r="G183" s="3"/>
      <c r="H183" s="3"/>
      <c r="I183" s="3"/>
      <c r="J183" s="3"/>
      <c r="K183" s="3"/>
      <c r="L183" s="3"/>
      <c r="M183" s="3"/>
      <c r="N183" s="3"/>
      <c r="O183" s="3"/>
      <c r="P183" s="3"/>
      <c r="Q183" s="3"/>
      <c r="R183" s="3"/>
      <c r="S183" s="197"/>
    </row>
    <row r="184" spans="1:20" ht="21.75" thickBot="1" x14ac:dyDescent="0.4">
      <c r="A184" s="3"/>
      <c r="B184" s="297"/>
      <c r="C184" s="198"/>
      <c r="D184" s="198"/>
      <c r="E184" s="198"/>
      <c r="F184" s="198"/>
      <c r="G184" s="198"/>
      <c r="H184" s="198"/>
      <c r="I184" s="198"/>
      <c r="J184" s="198"/>
      <c r="K184" s="198"/>
      <c r="L184" s="198"/>
      <c r="M184" s="198"/>
      <c r="N184" s="198"/>
      <c r="O184" s="198"/>
      <c r="P184" s="198"/>
      <c r="Q184" s="198"/>
      <c r="R184" s="198"/>
      <c r="S184" s="199"/>
    </row>
    <row r="185" spans="1:20" ht="15.75" thickTop="1" x14ac:dyDescent="0.25"/>
  </sheetData>
  <sheetProtection sheet="1" objects="1" scenarios="1"/>
  <mergeCells count="328">
    <mergeCell ref="I66:K66"/>
    <mergeCell ref="S66:U66"/>
    <mergeCell ref="AC66:AE66"/>
    <mergeCell ref="AM66:AO66"/>
    <mergeCell ref="I79:K79"/>
    <mergeCell ref="S79:U79"/>
    <mergeCell ref="AC79:AE79"/>
    <mergeCell ref="AM79:AO79"/>
    <mergeCell ref="I92:K92"/>
    <mergeCell ref="S92:U92"/>
    <mergeCell ref="AC92:AE92"/>
    <mergeCell ref="AM92:AO92"/>
    <mergeCell ref="AC72:AE72"/>
    <mergeCell ref="AM72:AO72"/>
    <mergeCell ref="I73:K73"/>
    <mergeCell ref="S73:U73"/>
    <mergeCell ref="AC73:AE73"/>
    <mergeCell ref="AM73:AO73"/>
    <mergeCell ref="I74:K74"/>
    <mergeCell ref="S74:U74"/>
    <mergeCell ref="AC74:AE74"/>
    <mergeCell ref="AM74:AO74"/>
    <mergeCell ref="I75:K75"/>
    <mergeCell ref="S75:U75"/>
    <mergeCell ref="AH53:AK53"/>
    <mergeCell ref="AM50:AO50"/>
    <mergeCell ref="E27:H27"/>
    <mergeCell ref="I43:K43"/>
    <mergeCell ref="S43:U43"/>
    <mergeCell ref="X43:AA43"/>
    <mergeCell ref="I50:K50"/>
    <mergeCell ref="I52:K52"/>
    <mergeCell ref="I48:K48"/>
    <mergeCell ref="S48:U48"/>
    <mergeCell ref="AC48:AE48"/>
    <mergeCell ref="I49:K49"/>
    <mergeCell ref="S49:U49"/>
    <mergeCell ref="AC49:AE49"/>
    <mergeCell ref="AC50:AE50"/>
    <mergeCell ref="I51:K51"/>
    <mergeCell ref="I53:K53"/>
    <mergeCell ref="S53:U53"/>
    <mergeCell ref="AC53:AE53"/>
    <mergeCell ref="AM53:AO53"/>
    <mergeCell ref="I47:K47"/>
    <mergeCell ref="H5:K5"/>
    <mergeCell ref="M5:P5"/>
    <mergeCell ref="R5:U5"/>
    <mergeCell ref="AM48:AO48"/>
    <mergeCell ref="AM49:AO49"/>
    <mergeCell ref="AM44:AO44"/>
    <mergeCell ref="AM45:AO45"/>
    <mergeCell ref="AM52:AO52"/>
    <mergeCell ref="D66:G66"/>
    <mergeCell ref="N66:Q66"/>
    <mergeCell ref="I65:K65"/>
    <mergeCell ref="S65:U65"/>
    <mergeCell ref="AC65:AE65"/>
    <mergeCell ref="I63:K63"/>
    <mergeCell ref="S63:U63"/>
    <mergeCell ref="AC63:AE63"/>
    <mergeCell ref="I62:K62"/>
    <mergeCell ref="S62:U62"/>
    <mergeCell ref="AC62:AE62"/>
    <mergeCell ref="AC52:AE52"/>
    <mergeCell ref="I61:K61"/>
    <mergeCell ref="S61:U61"/>
    <mergeCell ref="AC61:AE61"/>
    <mergeCell ref="X56:AA56"/>
    <mergeCell ref="AW47:AX47"/>
    <mergeCell ref="C29:C32"/>
    <mergeCell ref="D43:G43"/>
    <mergeCell ref="AQ37:AT37"/>
    <mergeCell ref="AR47:AS47"/>
    <mergeCell ref="K41:L41"/>
    <mergeCell ref="AV37:AY37"/>
    <mergeCell ref="AC43:AE43"/>
    <mergeCell ref="AH43:AK43"/>
    <mergeCell ref="AM46:AO46"/>
    <mergeCell ref="AM47:AO47"/>
    <mergeCell ref="I44:K44"/>
    <mergeCell ref="S44:U44"/>
    <mergeCell ref="AC44:AE44"/>
    <mergeCell ref="N43:Q43"/>
    <mergeCell ref="I45:K45"/>
    <mergeCell ref="S45:U45"/>
    <mergeCell ref="AM43:AO43"/>
    <mergeCell ref="S47:U47"/>
    <mergeCell ref="AC47:AE47"/>
    <mergeCell ref="S46:U46"/>
    <mergeCell ref="AC46:AE46"/>
    <mergeCell ref="AC45:AE45"/>
    <mergeCell ref="B46:B52"/>
    <mergeCell ref="I46:K46"/>
    <mergeCell ref="B72:B78"/>
    <mergeCell ref="I72:K72"/>
    <mergeCell ref="S72:U72"/>
    <mergeCell ref="AS65:AT65"/>
    <mergeCell ref="AX65:AY65"/>
    <mergeCell ref="AS59:AT59"/>
    <mergeCell ref="AX59:AY59"/>
    <mergeCell ref="AS53:AT53"/>
    <mergeCell ref="AX53:AY53"/>
    <mergeCell ref="B59:B65"/>
    <mergeCell ref="D53:G53"/>
    <mergeCell ref="AM61:AO61"/>
    <mergeCell ref="AM62:AO62"/>
    <mergeCell ref="I59:K59"/>
    <mergeCell ref="S59:U59"/>
    <mergeCell ref="AC59:AE59"/>
    <mergeCell ref="AM59:AO59"/>
    <mergeCell ref="I60:K60"/>
    <mergeCell ref="S60:U60"/>
    <mergeCell ref="AC60:AE60"/>
    <mergeCell ref="AM60:AO60"/>
    <mergeCell ref="AM65:AO65"/>
    <mergeCell ref="B44:B45"/>
    <mergeCell ref="AM51:AO51"/>
    <mergeCell ref="AC56:AE56"/>
    <mergeCell ref="AH56:AK56"/>
    <mergeCell ref="AM56:AO56"/>
    <mergeCell ref="B57:B58"/>
    <mergeCell ref="I57:K57"/>
    <mergeCell ref="S57:U57"/>
    <mergeCell ref="AC57:AE57"/>
    <mergeCell ref="AM57:AO57"/>
    <mergeCell ref="I58:K58"/>
    <mergeCell ref="S58:U58"/>
    <mergeCell ref="AC58:AE58"/>
    <mergeCell ref="AM58:AO58"/>
    <mergeCell ref="D56:G56"/>
    <mergeCell ref="I56:K56"/>
    <mergeCell ref="N56:Q56"/>
    <mergeCell ref="S51:U51"/>
    <mergeCell ref="AC51:AE51"/>
    <mergeCell ref="S52:U52"/>
    <mergeCell ref="S56:U56"/>
    <mergeCell ref="S50:U50"/>
    <mergeCell ref="N53:Q53"/>
    <mergeCell ref="X53:AA53"/>
    <mergeCell ref="AM63:AO63"/>
    <mergeCell ref="I64:K64"/>
    <mergeCell ref="S64:U64"/>
    <mergeCell ref="AC64:AE64"/>
    <mergeCell ref="AM64:AO64"/>
    <mergeCell ref="X66:AA66"/>
    <mergeCell ref="AM69:AO69"/>
    <mergeCell ref="B70:B71"/>
    <mergeCell ref="I70:K70"/>
    <mergeCell ref="S70:U70"/>
    <mergeCell ref="AC70:AE70"/>
    <mergeCell ref="AM70:AO70"/>
    <mergeCell ref="I71:K71"/>
    <mergeCell ref="S71:U71"/>
    <mergeCell ref="AC71:AE71"/>
    <mergeCell ref="AM71:AO71"/>
    <mergeCell ref="D69:G69"/>
    <mergeCell ref="I69:K69"/>
    <mergeCell ref="N69:Q69"/>
    <mergeCell ref="S69:U69"/>
    <mergeCell ref="X69:AA69"/>
    <mergeCell ref="AH69:AK69"/>
    <mergeCell ref="AC69:AE69"/>
    <mergeCell ref="AH66:AK66"/>
    <mergeCell ref="AC75:AE75"/>
    <mergeCell ref="I77:K77"/>
    <mergeCell ref="S77:U77"/>
    <mergeCell ref="AC77:AE77"/>
    <mergeCell ref="AM77:AO77"/>
    <mergeCell ref="I78:K78"/>
    <mergeCell ref="S78:U78"/>
    <mergeCell ref="AC78:AE78"/>
    <mergeCell ref="AM78:AO78"/>
    <mergeCell ref="AM75:AO75"/>
    <mergeCell ref="I76:K76"/>
    <mergeCell ref="S76:U76"/>
    <mergeCell ref="AC76:AE76"/>
    <mergeCell ref="AM76:AO76"/>
    <mergeCell ref="D79:G79"/>
    <mergeCell ref="N79:Q79"/>
    <mergeCell ref="X79:AA79"/>
    <mergeCell ref="AH79:AK79"/>
    <mergeCell ref="D82:G82"/>
    <mergeCell ref="I82:K82"/>
    <mergeCell ref="N82:Q82"/>
    <mergeCell ref="S82:U82"/>
    <mergeCell ref="X82:AA82"/>
    <mergeCell ref="AC82:AE82"/>
    <mergeCell ref="AH82:AK82"/>
    <mergeCell ref="AM82:AO82"/>
    <mergeCell ref="B83:B84"/>
    <mergeCell ref="I83:K83"/>
    <mergeCell ref="S83:U83"/>
    <mergeCell ref="AC83:AE83"/>
    <mergeCell ref="AM83:AO83"/>
    <mergeCell ref="I84:K84"/>
    <mergeCell ref="S84:U84"/>
    <mergeCell ref="AC84:AE84"/>
    <mergeCell ref="AM84:AO84"/>
    <mergeCell ref="AM88:AO88"/>
    <mergeCell ref="I89:K89"/>
    <mergeCell ref="S89:U89"/>
    <mergeCell ref="AC89:AE89"/>
    <mergeCell ref="AM89:AO89"/>
    <mergeCell ref="B85:B91"/>
    <mergeCell ref="I85:K85"/>
    <mergeCell ref="S85:U85"/>
    <mergeCell ref="AC85:AE85"/>
    <mergeCell ref="AM85:AO85"/>
    <mergeCell ref="I86:K86"/>
    <mergeCell ref="S86:U86"/>
    <mergeCell ref="AC86:AE86"/>
    <mergeCell ref="AM86:AO86"/>
    <mergeCell ref="I87:K87"/>
    <mergeCell ref="S87:U87"/>
    <mergeCell ref="AC87:AE87"/>
    <mergeCell ref="AM87:AO87"/>
    <mergeCell ref="I88:K88"/>
    <mergeCell ref="S88:U88"/>
    <mergeCell ref="AC88:AE88"/>
    <mergeCell ref="I90:K90"/>
    <mergeCell ref="S90:U90"/>
    <mergeCell ref="AC90:AE90"/>
    <mergeCell ref="AH92:AK92"/>
    <mergeCell ref="H94:K94"/>
    <mergeCell ref="M94:P94"/>
    <mergeCell ref="R94:U94"/>
    <mergeCell ref="AM90:AO90"/>
    <mergeCell ref="I91:K91"/>
    <mergeCell ref="S91:U91"/>
    <mergeCell ref="AC91:AE91"/>
    <mergeCell ref="AM91:AO91"/>
    <mergeCell ref="D92:G92"/>
    <mergeCell ref="H102:K102"/>
    <mergeCell ref="M102:P102"/>
    <mergeCell ref="N92:Q92"/>
    <mergeCell ref="L111:M111"/>
    <mergeCell ref="I111:J111"/>
    <mergeCell ref="F111:G111"/>
    <mergeCell ref="C111:D111"/>
    <mergeCell ref="X92:AA92"/>
    <mergeCell ref="R102:U102"/>
    <mergeCell ref="C116:D116"/>
    <mergeCell ref="F116:G116"/>
    <mergeCell ref="I116:J116"/>
    <mergeCell ref="L116:M116"/>
    <mergeCell ref="C118:D118"/>
    <mergeCell ref="F118:G118"/>
    <mergeCell ref="I118:J118"/>
    <mergeCell ref="L118:M118"/>
    <mergeCell ref="C110:D110"/>
    <mergeCell ref="F110:G110"/>
    <mergeCell ref="I110:J110"/>
    <mergeCell ref="L110:M110"/>
    <mergeCell ref="C115:D115"/>
    <mergeCell ref="F115:G115"/>
    <mergeCell ref="I115:J115"/>
    <mergeCell ref="L115:M115"/>
    <mergeCell ref="L131:M131"/>
    <mergeCell ref="C123:D123"/>
    <mergeCell ref="F123:G123"/>
    <mergeCell ref="I123:J123"/>
    <mergeCell ref="L123:M123"/>
    <mergeCell ref="C124:D124"/>
    <mergeCell ref="F124:G124"/>
    <mergeCell ref="I124:J124"/>
    <mergeCell ref="L124:M124"/>
    <mergeCell ref="C2:D2"/>
    <mergeCell ref="E2:G2"/>
    <mergeCell ref="H2:I2"/>
    <mergeCell ref="C183:E183"/>
    <mergeCell ref="C170:F170"/>
    <mergeCell ref="G170:J170"/>
    <mergeCell ref="K170:N170"/>
    <mergeCell ref="O170:R170"/>
    <mergeCell ref="H143:K143"/>
    <mergeCell ref="M143:P143"/>
    <mergeCell ref="R143:U143"/>
    <mergeCell ref="C169:R169"/>
    <mergeCell ref="C168:R168"/>
    <mergeCell ref="C140:D140"/>
    <mergeCell ref="F140:G140"/>
    <mergeCell ref="I140:J140"/>
    <mergeCell ref="L140:M140"/>
    <mergeCell ref="C141:D141"/>
    <mergeCell ref="F141:G141"/>
    <mergeCell ref="I141:J141"/>
    <mergeCell ref="L141:M141"/>
    <mergeCell ref="C132:D132"/>
    <mergeCell ref="F132:G132"/>
    <mergeCell ref="C136:D136"/>
    <mergeCell ref="F136:G136"/>
    <mergeCell ref="I136:J136"/>
    <mergeCell ref="L136:M136"/>
    <mergeCell ref="L127:M127"/>
    <mergeCell ref="I127:J127"/>
    <mergeCell ref="F127:G127"/>
    <mergeCell ref="C127:D127"/>
    <mergeCell ref="C119:D119"/>
    <mergeCell ref="F119:G119"/>
    <mergeCell ref="I119:J119"/>
    <mergeCell ref="L119:M119"/>
    <mergeCell ref="I132:J132"/>
    <mergeCell ref="L132:M132"/>
    <mergeCell ref="C135:D135"/>
    <mergeCell ref="F135:G135"/>
    <mergeCell ref="I135:J135"/>
    <mergeCell ref="L135:M135"/>
    <mergeCell ref="C126:D126"/>
    <mergeCell ref="F126:G126"/>
    <mergeCell ref="I126:J126"/>
    <mergeCell ref="L126:M126"/>
    <mergeCell ref="C131:D131"/>
    <mergeCell ref="F131:G131"/>
    <mergeCell ref="I131:J131"/>
    <mergeCell ref="C165:F165"/>
    <mergeCell ref="G165:J165"/>
    <mergeCell ref="K165:N165"/>
    <mergeCell ref="O165:R165"/>
    <mergeCell ref="B157:B167"/>
    <mergeCell ref="C157:F157"/>
    <mergeCell ref="G157:J157"/>
    <mergeCell ref="K157:N157"/>
    <mergeCell ref="O157:R157"/>
    <mergeCell ref="G161:J161"/>
    <mergeCell ref="K161:N161"/>
    <mergeCell ref="O161:R161"/>
    <mergeCell ref="C161:F161"/>
  </mergeCells>
  <phoneticPr fontId="2" type="noConversion"/>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2469B-37BA-4DAC-A214-5B11E2B171DD}">
  <sheetPr codeName="Sheet4"/>
  <dimension ref="A1:AK53"/>
  <sheetViews>
    <sheetView zoomScale="85" zoomScaleNormal="85" workbookViewId="0">
      <selection activeCell="R58" sqref="R58"/>
    </sheetView>
  </sheetViews>
  <sheetFormatPr defaultRowHeight="15" x14ac:dyDescent="0.25"/>
  <cols>
    <col min="3" max="19" width="4" bestFit="1" customWidth="1"/>
    <col min="21" max="37" width="4" bestFit="1" customWidth="1"/>
  </cols>
  <sheetData>
    <row r="1" spans="1:37" ht="21" x14ac:dyDescent="0.35">
      <c r="A1" s="32"/>
      <c r="B1" s="32"/>
      <c r="C1" s="384" t="s">
        <v>436</v>
      </c>
      <c r="D1" s="384"/>
      <c r="E1" s="384"/>
      <c r="F1" s="384"/>
      <c r="G1" s="384"/>
      <c r="H1" s="384"/>
      <c r="I1" s="384"/>
      <c r="J1" s="384"/>
      <c r="K1" s="384"/>
      <c r="L1" s="384"/>
      <c r="M1" s="384"/>
      <c r="N1" s="384"/>
      <c r="O1" s="384"/>
      <c r="P1" s="384"/>
      <c r="Q1" s="384"/>
      <c r="R1" s="384"/>
      <c r="S1" s="384"/>
      <c r="T1" s="32"/>
      <c r="U1" s="384" t="s">
        <v>437</v>
      </c>
      <c r="V1" s="384"/>
      <c r="W1" s="384"/>
      <c r="X1" s="384"/>
      <c r="Y1" s="384"/>
      <c r="Z1" s="384"/>
      <c r="AA1" s="384"/>
      <c r="AB1" s="384"/>
      <c r="AC1" s="384"/>
      <c r="AD1" s="384"/>
      <c r="AE1" s="384"/>
      <c r="AF1" s="384"/>
      <c r="AG1" s="384"/>
      <c r="AH1" s="384"/>
      <c r="AI1" s="384"/>
      <c r="AJ1" s="384"/>
      <c r="AK1" s="384"/>
    </row>
    <row r="2" spans="1:37" ht="15.75" thickBot="1" x14ac:dyDescent="0.3">
      <c r="A2" s="32"/>
      <c r="B2" s="32"/>
      <c r="C2" s="382" t="s">
        <v>253</v>
      </c>
      <c r="D2" s="382"/>
      <c r="E2" s="382"/>
      <c r="F2" s="382"/>
      <c r="G2" s="382"/>
      <c r="H2" s="382"/>
      <c r="I2" s="382"/>
      <c r="J2" s="382"/>
      <c r="K2" s="382"/>
      <c r="L2" s="382"/>
      <c r="M2" s="382"/>
      <c r="N2" s="382"/>
      <c r="O2" s="382"/>
      <c r="P2" s="382"/>
      <c r="Q2" s="382"/>
      <c r="R2" s="382"/>
      <c r="S2" s="382"/>
      <c r="T2" s="32"/>
      <c r="U2" s="383" t="s">
        <v>438</v>
      </c>
      <c r="V2" s="383"/>
      <c r="W2" s="383"/>
      <c r="X2" s="383"/>
      <c r="Y2" s="383"/>
      <c r="Z2" s="383"/>
      <c r="AA2" s="383"/>
      <c r="AB2" s="383"/>
      <c r="AC2" s="383"/>
      <c r="AD2" s="383"/>
      <c r="AE2" s="383"/>
      <c r="AF2" s="383"/>
      <c r="AG2" s="383"/>
      <c r="AH2" s="383"/>
      <c r="AI2" s="383"/>
      <c r="AJ2" s="383"/>
      <c r="AK2" s="383"/>
    </row>
    <row r="3" spans="1:37" ht="15.75" thickBot="1" x14ac:dyDescent="0.3">
      <c r="A3" s="32"/>
      <c r="B3" s="32"/>
      <c r="C3" s="33"/>
      <c r="D3" s="33" t="s">
        <v>80</v>
      </c>
      <c r="E3" s="33" t="s">
        <v>81</v>
      </c>
      <c r="F3" s="33" t="s">
        <v>82</v>
      </c>
      <c r="G3" s="33" t="s">
        <v>83</v>
      </c>
      <c r="H3" s="33" t="s">
        <v>84</v>
      </c>
      <c r="I3" s="33" t="s">
        <v>85</v>
      </c>
      <c r="J3" s="33" t="s">
        <v>86</v>
      </c>
      <c r="K3" s="33" t="s">
        <v>87</v>
      </c>
      <c r="L3" s="33" t="s">
        <v>88</v>
      </c>
      <c r="M3" s="33" t="s">
        <v>89</v>
      </c>
      <c r="N3" s="34" t="s">
        <v>91</v>
      </c>
      <c r="O3" s="34" t="s">
        <v>92</v>
      </c>
      <c r="P3" s="34" t="s">
        <v>93</v>
      </c>
      <c r="Q3" s="34" t="s">
        <v>94</v>
      </c>
      <c r="R3" s="34" t="s">
        <v>95</v>
      </c>
      <c r="S3" s="34" t="s">
        <v>96</v>
      </c>
      <c r="T3" s="32"/>
      <c r="U3" s="77"/>
      <c r="V3" s="77" t="s">
        <v>80</v>
      </c>
      <c r="W3" s="77" t="s">
        <v>81</v>
      </c>
      <c r="X3" s="77" t="s">
        <v>82</v>
      </c>
      <c r="Y3" s="77" t="s">
        <v>83</v>
      </c>
      <c r="Z3" s="77" t="s">
        <v>84</v>
      </c>
      <c r="AA3" s="77" t="s">
        <v>85</v>
      </c>
      <c r="AB3" s="77" t="s">
        <v>86</v>
      </c>
      <c r="AC3" s="77" t="s">
        <v>87</v>
      </c>
      <c r="AD3" s="77" t="s">
        <v>88</v>
      </c>
      <c r="AE3" s="77" t="s">
        <v>89</v>
      </c>
      <c r="AF3" s="77" t="s">
        <v>91</v>
      </c>
      <c r="AG3" s="77" t="s">
        <v>92</v>
      </c>
      <c r="AH3" s="77" t="s">
        <v>93</v>
      </c>
      <c r="AI3" s="77" t="s">
        <v>94</v>
      </c>
      <c r="AJ3" s="77" t="s">
        <v>95</v>
      </c>
      <c r="AK3" s="77" t="s">
        <v>96</v>
      </c>
    </row>
    <row r="4" spans="1:37" ht="15.75" thickBot="1" x14ac:dyDescent="0.3">
      <c r="A4" s="32"/>
      <c r="B4" s="32"/>
      <c r="C4" s="33" t="s">
        <v>80</v>
      </c>
      <c r="D4" s="35">
        <v>63</v>
      </c>
      <c r="E4" s="35" t="s">
        <v>97</v>
      </c>
      <c r="F4" s="35">
        <v>77</v>
      </c>
      <c r="G4" s="35" t="s">
        <v>98</v>
      </c>
      <c r="H4" s="35" t="s">
        <v>99</v>
      </c>
      <c r="I4" s="35" t="s">
        <v>100</v>
      </c>
      <c r="J4" s="35" t="s">
        <v>101</v>
      </c>
      <c r="K4" s="35" t="s">
        <v>102</v>
      </c>
      <c r="L4" s="35">
        <v>30</v>
      </c>
      <c r="M4" s="35" t="s">
        <v>81</v>
      </c>
      <c r="N4" s="35">
        <v>67</v>
      </c>
      <c r="O4" s="35" t="s">
        <v>103</v>
      </c>
      <c r="P4" s="35" t="s">
        <v>104</v>
      </c>
      <c r="Q4" s="35" t="s">
        <v>105</v>
      </c>
      <c r="R4" s="35" t="s">
        <v>106</v>
      </c>
      <c r="S4" s="35">
        <v>76</v>
      </c>
      <c r="T4" s="32"/>
      <c r="U4" s="77" t="s">
        <v>80</v>
      </c>
      <c r="V4" s="119">
        <v>52</v>
      </c>
      <c r="W4" s="119" t="s">
        <v>89</v>
      </c>
      <c r="X4" s="119" t="s">
        <v>150</v>
      </c>
      <c r="Y4" s="119" t="s">
        <v>204</v>
      </c>
      <c r="Z4" s="119">
        <v>30</v>
      </c>
      <c r="AA4" s="119">
        <v>36</v>
      </c>
      <c r="AB4" s="119" t="s">
        <v>124</v>
      </c>
      <c r="AC4" s="119">
        <v>38</v>
      </c>
      <c r="AD4" s="119" t="s">
        <v>243</v>
      </c>
      <c r="AE4" s="119">
        <v>40</v>
      </c>
      <c r="AF4" s="119" t="s">
        <v>166</v>
      </c>
      <c r="AG4" s="119" t="s">
        <v>231</v>
      </c>
      <c r="AH4" s="119">
        <v>81</v>
      </c>
      <c r="AI4" s="119" t="s">
        <v>174</v>
      </c>
      <c r="AJ4" s="119" t="s">
        <v>105</v>
      </c>
      <c r="AK4" s="119" t="s">
        <v>159</v>
      </c>
    </row>
    <row r="5" spans="1:37" ht="15.75" thickBot="1" x14ac:dyDescent="0.3">
      <c r="A5" s="32"/>
      <c r="B5" s="32"/>
      <c r="C5" s="33">
        <v>10</v>
      </c>
      <c r="D5" s="35" t="s">
        <v>107</v>
      </c>
      <c r="E5" s="35">
        <v>82</v>
      </c>
      <c r="F5" s="35" t="s">
        <v>108</v>
      </c>
      <c r="G5" s="35" t="s">
        <v>109</v>
      </c>
      <c r="H5" s="35" t="s">
        <v>110</v>
      </c>
      <c r="I5" s="35">
        <v>59</v>
      </c>
      <c r="J5" s="35">
        <v>47</v>
      </c>
      <c r="K5" s="35" t="s">
        <v>111</v>
      </c>
      <c r="L5" s="35" t="s">
        <v>112</v>
      </c>
      <c r="M5" s="35" t="s">
        <v>113</v>
      </c>
      <c r="N5" s="35" t="s">
        <v>114</v>
      </c>
      <c r="O5" s="35" t="s">
        <v>115</v>
      </c>
      <c r="P5" s="35" t="s">
        <v>116</v>
      </c>
      <c r="Q5" s="35" t="s">
        <v>117</v>
      </c>
      <c r="R5" s="35">
        <v>72</v>
      </c>
      <c r="S5" s="35" t="s">
        <v>118</v>
      </c>
      <c r="T5" s="32"/>
      <c r="U5" s="77">
        <v>10</v>
      </c>
      <c r="V5" s="119" t="s">
        <v>97</v>
      </c>
      <c r="W5" s="119" t="s">
        <v>143</v>
      </c>
      <c r="X5" s="119">
        <v>39</v>
      </c>
      <c r="Y5" s="119">
        <v>82</v>
      </c>
      <c r="Z5" s="119" t="s">
        <v>236</v>
      </c>
      <c r="AA5" s="119" t="s">
        <v>144</v>
      </c>
      <c r="AB5" s="119" t="s">
        <v>173</v>
      </c>
      <c r="AC5" s="119">
        <v>87</v>
      </c>
      <c r="AD5" s="119">
        <v>34</v>
      </c>
      <c r="AE5" s="119" t="s">
        <v>235</v>
      </c>
      <c r="AF5" s="119">
        <v>43</v>
      </c>
      <c r="AG5" s="119">
        <v>44</v>
      </c>
      <c r="AH5" s="119" t="s">
        <v>179</v>
      </c>
      <c r="AI5" s="119" t="s">
        <v>189</v>
      </c>
      <c r="AJ5" s="119" t="s">
        <v>238</v>
      </c>
      <c r="AK5" s="119" t="s">
        <v>151</v>
      </c>
    </row>
    <row r="6" spans="1:37" ht="15.75" thickBot="1" x14ac:dyDescent="0.3">
      <c r="A6" s="32"/>
      <c r="B6" s="32"/>
      <c r="C6" s="33">
        <v>20</v>
      </c>
      <c r="D6" s="35" t="s">
        <v>119</v>
      </c>
      <c r="E6" s="35" t="s">
        <v>120</v>
      </c>
      <c r="F6" s="35">
        <v>93</v>
      </c>
      <c r="G6" s="35">
        <v>26</v>
      </c>
      <c r="H6" s="35">
        <v>36</v>
      </c>
      <c r="I6" s="35" t="s">
        <v>121</v>
      </c>
      <c r="J6" s="35" t="s">
        <v>122</v>
      </c>
      <c r="K6" s="35" t="s">
        <v>123</v>
      </c>
      <c r="L6" s="35">
        <v>34</v>
      </c>
      <c r="M6" s="35" t="s">
        <v>124</v>
      </c>
      <c r="N6" s="35" t="s">
        <v>125</v>
      </c>
      <c r="O6" s="35" t="s">
        <v>126</v>
      </c>
      <c r="P6" s="35">
        <v>71</v>
      </c>
      <c r="Q6" s="35" t="s">
        <v>127</v>
      </c>
      <c r="R6" s="35">
        <v>31</v>
      </c>
      <c r="S6" s="35">
        <v>15</v>
      </c>
      <c r="T6" s="32"/>
      <c r="U6" s="77">
        <v>20</v>
      </c>
      <c r="V6" s="119">
        <v>54</v>
      </c>
      <c r="W6" s="119" t="s">
        <v>98</v>
      </c>
      <c r="X6" s="119">
        <v>94</v>
      </c>
      <c r="Y6" s="119">
        <v>32</v>
      </c>
      <c r="Z6" s="119" t="s">
        <v>215</v>
      </c>
      <c r="AA6" s="119" t="s">
        <v>195</v>
      </c>
      <c r="AB6" s="119">
        <v>23</v>
      </c>
      <c r="AC6" s="119" t="s">
        <v>182</v>
      </c>
      <c r="AD6" s="119" t="s">
        <v>187</v>
      </c>
      <c r="AE6" s="119" t="s">
        <v>154</v>
      </c>
      <c r="AF6" s="119">
        <v>95</v>
      </c>
      <c r="AG6" s="119" t="s">
        <v>92</v>
      </c>
      <c r="AH6" s="119">
        <v>42</v>
      </c>
      <c r="AI6" s="119" t="s">
        <v>110</v>
      </c>
      <c r="AJ6" s="119" t="s">
        <v>129</v>
      </c>
      <c r="AK6" s="119" t="s">
        <v>205</v>
      </c>
    </row>
    <row r="7" spans="1:37" ht="15.75" thickBot="1" x14ac:dyDescent="0.3">
      <c r="A7" s="32"/>
      <c r="B7" s="32"/>
      <c r="C7" s="33">
        <v>30</v>
      </c>
      <c r="D7" s="35" t="s">
        <v>84</v>
      </c>
      <c r="E7" s="35" t="s">
        <v>128</v>
      </c>
      <c r="F7" s="35">
        <v>23</v>
      </c>
      <c r="G7" s="35" t="s">
        <v>129</v>
      </c>
      <c r="H7" s="35">
        <v>18</v>
      </c>
      <c r="I7" s="35">
        <v>96</v>
      </c>
      <c r="J7" s="35" t="s">
        <v>85</v>
      </c>
      <c r="K7" s="35" t="s">
        <v>130</v>
      </c>
      <c r="L7" s="35" t="s">
        <v>87</v>
      </c>
      <c r="M7" s="35">
        <v>12</v>
      </c>
      <c r="N7" s="35">
        <v>80</v>
      </c>
      <c r="O7" s="35" t="s">
        <v>131</v>
      </c>
      <c r="P7" s="35" t="s">
        <v>132</v>
      </c>
      <c r="Q7" s="35">
        <v>27</v>
      </c>
      <c r="R7" s="35" t="s">
        <v>133</v>
      </c>
      <c r="S7" s="35">
        <v>75</v>
      </c>
      <c r="T7" s="32"/>
      <c r="U7" s="77">
        <v>30</v>
      </c>
      <c r="V7" s="119" t="s">
        <v>88</v>
      </c>
      <c r="W7" s="119" t="s">
        <v>213</v>
      </c>
      <c r="X7" s="119" t="s">
        <v>242</v>
      </c>
      <c r="Y7" s="119">
        <v>66</v>
      </c>
      <c r="Z7" s="119">
        <v>28</v>
      </c>
      <c r="AA7" s="119" t="s">
        <v>234</v>
      </c>
      <c r="AB7" s="119">
        <v>24</v>
      </c>
      <c r="AC7" s="119" t="s">
        <v>133</v>
      </c>
      <c r="AD7" s="119">
        <v>76</v>
      </c>
      <c r="AE7" s="119" t="s">
        <v>149</v>
      </c>
      <c r="AF7" s="119" t="s">
        <v>114</v>
      </c>
      <c r="AG7" s="119">
        <v>49</v>
      </c>
      <c r="AH7" s="119" t="s">
        <v>202</v>
      </c>
      <c r="AI7" s="119" t="s">
        <v>223</v>
      </c>
      <c r="AJ7" s="119" t="s">
        <v>145</v>
      </c>
      <c r="AK7" s="119">
        <v>25</v>
      </c>
    </row>
    <row r="8" spans="1:37" ht="15.75" thickBot="1" x14ac:dyDescent="0.3">
      <c r="A8" s="32"/>
      <c r="B8" s="32"/>
      <c r="C8" s="33">
        <v>40</v>
      </c>
      <c r="D8" s="35" t="s">
        <v>89</v>
      </c>
      <c r="E8" s="35">
        <v>83</v>
      </c>
      <c r="F8" s="35" t="s">
        <v>134</v>
      </c>
      <c r="G8" s="35" t="s">
        <v>135</v>
      </c>
      <c r="H8" s="35" t="s">
        <v>136</v>
      </c>
      <c r="I8" s="35" t="s">
        <v>137</v>
      </c>
      <c r="J8" s="35" t="s">
        <v>138</v>
      </c>
      <c r="K8" s="35" t="s">
        <v>139</v>
      </c>
      <c r="L8" s="35">
        <v>52</v>
      </c>
      <c r="M8" s="35" t="s">
        <v>140</v>
      </c>
      <c r="N8" s="35" t="s">
        <v>141</v>
      </c>
      <c r="O8" s="35" t="s">
        <v>142</v>
      </c>
      <c r="P8" s="35">
        <v>29</v>
      </c>
      <c r="Q8" s="35" t="s">
        <v>143</v>
      </c>
      <c r="R8" s="35" t="s">
        <v>144</v>
      </c>
      <c r="S8" s="35">
        <v>84</v>
      </c>
      <c r="T8" s="32"/>
      <c r="U8" s="77">
        <v>40</v>
      </c>
      <c r="V8" s="119">
        <v>72</v>
      </c>
      <c r="W8" s="119" t="s">
        <v>233</v>
      </c>
      <c r="X8" s="119" t="s">
        <v>227</v>
      </c>
      <c r="Y8" s="119">
        <v>64</v>
      </c>
      <c r="Z8" s="119">
        <v>86</v>
      </c>
      <c r="AA8" s="119">
        <v>68</v>
      </c>
      <c r="AB8" s="119">
        <v>98</v>
      </c>
      <c r="AC8" s="119">
        <v>16</v>
      </c>
      <c r="AD8" s="119" t="s">
        <v>113</v>
      </c>
      <c r="AE8" s="119" t="s">
        <v>117</v>
      </c>
      <c r="AF8" s="119" t="s">
        <v>194</v>
      </c>
      <c r="AG8" s="119" t="s">
        <v>123</v>
      </c>
      <c r="AH8" s="119" t="s">
        <v>183</v>
      </c>
      <c r="AI8" s="119">
        <v>65</v>
      </c>
      <c r="AJ8" s="119" t="s">
        <v>171</v>
      </c>
      <c r="AK8" s="119">
        <v>92</v>
      </c>
    </row>
    <row r="9" spans="1:37" ht="15.75" thickBot="1" x14ac:dyDescent="0.3">
      <c r="A9" s="32"/>
      <c r="B9" s="32"/>
      <c r="C9" s="33">
        <v>50</v>
      </c>
      <c r="D9" s="35">
        <v>53</v>
      </c>
      <c r="E9" s="35" t="s">
        <v>145</v>
      </c>
      <c r="F9" s="35" t="s">
        <v>80</v>
      </c>
      <c r="G9" s="35" t="s">
        <v>146</v>
      </c>
      <c r="H9" s="35">
        <v>20</v>
      </c>
      <c r="I9" s="35" t="s">
        <v>147</v>
      </c>
      <c r="J9" s="35" t="s">
        <v>148</v>
      </c>
      <c r="K9" s="35" t="s">
        <v>149</v>
      </c>
      <c r="L9" s="35" t="s">
        <v>150</v>
      </c>
      <c r="M9" s="35" t="s">
        <v>151</v>
      </c>
      <c r="N9" s="35" t="s">
        <v>152</v>
      </c>
      <c r="O9" s="35">
        <v>39</v>
      </c>
      <c r="P9" s="35" t="s">
        <v>153</v>
      </c>
      <c r="Q9" s="35" t="s">
        <v>154</v>
      </c>
      <c r="R9" s="35">
        <v>58</v>
      </c>
      <c r="S9" s="35" t="s">
        <v>155</v>
      </c>
      <c r="T9" s="32"/>
      <c r="U9" s="77">
        <v>50</v>
      </c>
      <c r="V9" s="119" t="s">
        <v>207</v>
      </c>
      <c r="W9" s="119">
        <v>70</v>
      </c>
      <c r="X9" s="119">
        <v>48</v>
      </c>
      <c r="Y9" s="119">
        <v>50</v>
      </c>
      <c r="Z9" s="119" t="s">
        <v>120</v>
      </c>
      <c r="AA9" s="119" t="s">
        <v>146</v>
      </c>
      <c r="AB9" s="119" t="s">
        <v>228</v>
      </c>
      <c r="AC9" s="119" t="s">
        <v>172</v>
      </c>
      <c r="AD9" s="119" t="s">
        <v>190</v>
      </c>
      <c r="AE9" s="119">
        <v>15</v>
      </c>
      <c r="AF9" s="119">
        <v>46</v>
      </c>
      <c r="AG9" s="119">
        <v>57</v>
      </c>
      <c r="AH9" s="119" t="s">
        <v>180</v>
      </c>
      <c r="AI9" s="119" t="s">
        <v>203</v>
      </c>
      <c r="AJ9" s="119" t="s">
        <v>168</v>
      </c>
      <c r="AK9" s="119">
        <v>84</v>
      </c>
    </row>
    <row r="10" spans="1:37" ht="15.75" thickBot="1" x14ac:dyDescent="0.3">
      <c r="A10" s="32"/>
      <c r="B10" s="32"/>
      <c r="C10" s="33">
        <v>60</v>
      </c>
      <c r="D10" s="35" t="s">
        <v>156</v>
      </c>
      <c r="E10" s="35" t="s">
        <v>157</v>
      </c>
      <c r="F10" s="35" t="s">
        <v>158</v>
      </c>
      <c r="G10" s="35" t="s">
        <v>159</v>
      </c>
      <c r="H10" s="35">
        <v>43</v>
      </c>
      <c r="I10" s="35" t="s">
        <v>160</v>
      </c>
      <c r="J10" s="35">
        <v>33</v>
      </c>
      <c r="K10" s="35">
        <v>85</v>
      </c>
      <c r="L10" s="35">
        <v>45</v>
      </c>
      <c r="M10" s="35" t="s">
        <v>161</v>
      </c>
      <c r="N10" s="35" t="s">
        <v>82</v>
      </c>
      <c r="O10" s="35" t="s">
        <v>162</v>
      </c>
      <c r="P10" s="35">
        <v>50</v>
      </c>
      <c r="Q10" s="35" t="s">
        <v>163</v>
      </c>
      <c r="R10" s="35" t="s">
        <v>164</v>
      </c>
      <c r="S10" s="35" t="s">
        <v>165</v>
      </c>
      <c r="T10" s="32"/>
      <c r="U10" s="77">
        <v>60</v>
      </c>
      <c r="V10" s="119">
        <v>90</v>
      </c>
      <c r="W10" s="119" t="s">
        <v>127</v>
      </c>
      <c r="X10" s="119" t="s">
        <v>106</v>
      </c>
      <c r="Y10" s="119" t="s">
        <v>80</v>
      </c>
      <c r="Z10" s="119" t="s">
        <v>241</v>
      </c>
      <c r="AA10" s="119" t="s">
        <v>170</v>
      </c>
      <c r="AB10" s="119" t="s">
        <v>196</v>
      </c>
      <c r="AC10" s="119" t="s">
        <v>91</v>
      </c>
      <c r="AD10" s="119" t="s">
        <v>122</v>
      </c>
      <c r="AE10" s="119" t="s">
        <v>198</v>
      </c>
      <c r="AF10" s="119">
        <v>58</v>
      </c>
      <c r="AG10" s="119" t="s">
        <v>85</v>
      </c>
      <c r="AH10" s="119" t="s">
        <v>188</v>
      </c>
      <c r="AI10" s="119" t="s">
        <v>142</v>
      </c>
      <c r="AJ10" s="119">
        <v>45</v>
      </c>
      <c r="AK10" s="119" t="s">
        <v>86</v>
      </c>
    </row>
    <row r="11" spans="1:37" ht="15.75" thickBot="1" x14ac:dyDescent="0.3">
      <c r="A11" s="32"/>
      <c r="B11" s="32"/>
      <c r="C11" s="33">
        <v>70</v>
      </c>
      <c r="D11" s="35">
        <v>51</v>
      </c>
      <c r="E11" s="35" t="s">
        <v>166</v>
      </c>
      <c r="F11" s="35">
        <v>40</v>
      </c>
      <c r="G11" s="35" t="s">
        <v>167</v>
      </c>
      <c r="H11" s="35">
        <v>92</v>
      </c>
      <c r="I11" s="35" t="s">
        <v>168</v>
      </c>
      <c r="J11" s="35">
        <v>38</v>
      </c>
      <c r="K11" s="35" t="s">
        <v>169</v>
      </c>
      <c r="L11" s="35" t="s">
        <v>170</v>
      </c>
      <c r="M11" s="35" t="s">
        <v>171</v>
      </c>
      <c r="N11" s="35" t="s">
        <v>172</v>
      </c>
      <c r="O11" s="35">
        <v>21</v>
      </c>
      <c r="P11" s="35">
        <v>10</v>
      </c>
      <c r="Q11" s="35" t="s">
        <v>173</v>
      </c>
      <c r="R11" s="35" t="s">
        <v>174</v>
      </c>
      <c r="S11" s="35" t="s">
        <v>175</v>
      </c>
      <c r="T11" s="32"/>
      <c r="U11" s="77">
        <v>70</v>
      </c>
      <c r="V11" s="119" t="s">
        <v>156</v>
      </c>
      <c r="W11" s="119" t="s">
        <v>134</v>
      </c>
      <c r="X11" s="119" t="s">
        <v>237</v>
      </c>
      <c r="Y11" s="119" t="s">
        <v>167</v>
      </c>
      <c r="Z11" s="119" t="s">
        <v>107</v>
      </c>
      <c r="AA11" s="119" t="s">
        <v>121</v>
      </c>
      <c r="AB11" s="119" t="s">
        <v>96</v>
      </c>
      <c r="AC11" s="119" t="s">
        <v>82</v>
      </c>
      <c r="AD11" s="119" t="s">
        <v>229</v>
      </c>
      <c r="AE11" s="119" t="s">
        <v>115</v>
      </c>
      <c r="AF11" s="119" t="s">
        <v>222</v>
      </c>
      <c r="AG11" s="119" t="s">
        <v>83</v>
      </c>
      <c r="AH11" s="119" t="s">
        <v>81</v>
      </c>
      <c r="AI11" s="119">
        <v>13</v>
      </c>
      <c r="AJ11" s="119" t="s">
        <v>224</v>
      </c>
      <c r="AK11" s="119" t="s">
        <v>100</v>
      </c>
    </row>
    <row r="12" spans="1:37" ht="15.75" thickBot="1" x14ac:dyDescent="0.3">
      <c r="A12" s="32"/>
      <c r="B12" s="32"/>
      <c r="C12" s="33">
        <v>80</v>
      </c>
      <c r="D12" s="35" t="s">
        <v>176</v>
      </c>
      <c r="E12" s="35" t="s">
        <v>93</v>
      </c>
      <c r="F12" s="35">
        <v>13</v>
      </c>
      <c r="G12" s="35" t="s">
        <v>177</v>
      </c>
      <c r="H12" s="35" t="s">
        <v>178</v>
      </c>
      <c r="I12" s="35">
        <v>97</v>
      </c>
      <c r="J12" s="35">
        <v>44</v>
      </c>
      <c r="K12" s="35">
        <v>17</v>
      </c>
      <c r="L12" s="35" t="s">
        <v>179</v>
      </c>
      <c r="M12" s="35" t="s">
        <v>180</v>
      </c>
      <c r="N12" s="35" t="s">
        <v>181</v>
      </c>
      <c r="O12" s="35" t="s">
        <v>182</v>
      </c>
      <c r="P12" s="35">
        <v>64</v>
      </c>
      <c r="Q12" s="35" t="s">
        <v>183</v>
      </c>
      <c r="R12" s="35">
        <v>19</v>
      </c>
      <c r="S12" s="35">
        <v>73</v>
      </c>
      <c r="T12" s="32"/>
      <c r="U12" s="77">
        <v>80</v>
      </c>
      <c r="V12" s="119" t="s">
        <v>193</v>
      </c>
      <c r="W12" s="119">
        <v>91</v>
      </c>
      <c r="X12" s="119">
        <v>11</v>
      </c>
      <c r="Y12" s="119">
        <v>41</v>
      </c>
      <c r="Z12" s="119" t="s">
        <v>184</v>
      </c>
      <c r="AA12" s="119">
        <v>67</v>
      </c>
      <c r="AB12" s="119" t="s">
        <v>185</v>
      </c>
      <c r="AC12" s="119" t="s">
        <v>209</v>
      </c>
      <c r="AD12" s="119">
        <v>97</v>
      </c>
      <c r="AE12" s="119" t="s">
        <v>99</v>
      </c>
      <c r="AF12" s="119" t="s">
        <v>155</v>
      </c>
      <c r="AG12" s="119" t="s">
        <v>239</v>
      </c>
      <c r="AH12" s="119" t="s">
        <v>111</v>
      </c>
      <c r="AI12" s="119" t="s">
        <v>216</v>
      </c>
      <c r="AJ12" s="119" t="s">
        <v>244</v>
      </c>
      <c r="AK12" s="119">
        <v>73</v>
      </c>
    </row>
    <row r="13" spans="1:37" ht="15.75" thickBot="1" x14ac:dyDescent="0.3">
      <c r="A13" s="32"/>
      <c r="B13" s="32"/>
      <c r="C13" s="33">
        <v>90</v>
      </c>
      <c r="D13" s="35">
        <v>60</v>
      </c>
      <c r="E13" s="35">
        <v>81</v>
      </c>
      <c r="F13" s="35" t="s">
        <v>184</v>
      </c>
      <c r="G13" s="35" t="s">
        <v>185</v>
      </c>
      <c r="H13" s="35">
        <v>22</v>
      </c>
      <c r="I13" s="35" t="s">
        <v>186</v>
      </c>
      <c r="J13" s="35">
        <v>90</v>
      </c>
      <c r="K13" s="35">
        <v>88</v>
      </c>
      <c r="L13" s="35">
        <v>46</v>
      </c>
      <c r="M13" s="35" t="s">
        <v>187</v>
      </c>
      <c r="N13" s="35" t="s">
        <v>188</v>
      </c>
      <c r="O13" s="35">
        <v>14</v>
      </c>
      <c r="P13" s="35" t="s">
        <v>189</v>
      </c>
      <c r="Q13" s="35" t="s">
        <v>190</v>
      </c>
      <c r="R13" s="35" t="s">
        <v>92</v>
      </c>
      <c r="S13" s="35" t="s">
        <v>191</v>
      </c>
      <c r="T13" s="32"/>
      <c r="U13" s="77">
        <v>90</v>
      </c>
      <c r="V13" s="119">
        <v>96</v>
      </c>
      <c r="W13" s="119" t="s">
        <v>197</v>
      </c>
      <c r="X13" s="119">
        <v>74</v>
      </c>
      <c r="Y13" s="119">
        <v>22</v>
      </c>
      <c r="Z13" s="119" t="s">
        <v>200</v>
      </c>
      <c r="AA13" s="119" t="s">
        <v>112</v>
      </c>
      <c r="AB13" s="119">
        <v>35</v>
      </c>
      <c r="AC13" s="119">
        <v>85</v>
      </c>
      <c r="AD13" s="119" t="s">
        <v>131</v>
      </c>
      <c r="AE13" s="119" t="s">
        <v>161</v>
      </c>
      <c r="AF13" s="119">
        <v>37</v>
      </c>
      <c r="AG13" s="119" t="s">
        <v>218</v>
      </c>
      <c r="AH13" s="119" t="s">
        <v>214</v>
      </c>
      <c r="AI13" s="119">
        <v>75</v>
      </c>
      <c r="AJ13" s="119" t="s">
        <v>240</v>
      </c>
      <c r="AK13" s="119" t="s">
        <v>137</v>
      </c>
    </row>
    <row r="14" spans="1:37" ht="15.75" thickBot="1" x14ac:dyDescent="0.3">
      <c r="A14" s="32"/>
      <c r="B14" s="32"/>
      <c r="C14" s="33" t="s">
        <v>139</v>
      </c>
      <c r="D14" s="35" t="s">
        <v>192</v>
      </c>
      <c r="E14" s="35">
        <v>32</v>
      </c>
      <c r="F14" s="35" t="s">
        <v>193</v>
      </c>
      <c r="G14" s="35" t="s">
        <v>91</v>
      </c>
      <c r="H14" s="35">
        <v>49</v>
      </c>
      <c r="I14" s="35" t="s">
        <v>86</v>
      </c>
      <c r="J14" s="35">
        <v>24</v>
      </c>
      <c r="K14" s="35" t="s">
        <v>194</v>
      </c>
      <c r="L14" s="35" t="s">
        <v>195</v>
      </c>
      <c r="M14" s="35" t="s">
        <v>196</v>
      </c>
      <c r="N14" s="35" t="s">
        <v>197</v>
      </c>
      <c r="O14" s="35">
        <v>62</v>
      </c>
      <c r="P14" s="35">
        <v>91</v>
      </c>
      <c r="Q14" s="35">
        <v>95</v>
      </c>
      <c r="R14" s="35" t="s">
        <v>198</v>
      </c>
      <c r="S14" s="35">
        <v>79</v>
      </c>
      <c r="T14" s="32"/>
      <c r="U14" s="77" t="s">
        <v>139</v>
      </c>
      <c r="V14" s="119">
        <v>47</v>
      </c>
      <c r="W14" s="119" t="s">
        <v>126</v>
      </c>
      <c r="X14" s="119" t="s">
        <v>135</v>
      </c>
      <c r="Y14" s="119">
        <v>71</v>
      </c>
      <c r="Z14" s="119" t="s">
        <v>230</v>
      </c>
      <c r="AA14" s="119">
        <v>29</v>
      </c>
      <c r="AB14" s="119" t="s">
        <v>102</v>
      </c>
      <c r="AC14" s="119">
        <v>89</v>
      </c>
      <c r="AD14" s="119" t="s">
        <v>101</v>
      </c>
      <c r="AE14" s="119" t="s">
        <v>119</v>
      </c>
      <c r="AF14" s="119">
        <v>62</v>
      </c>
      <c r="AG14" s="119" t="s">
        <v>95</v>
      </c>
      <c r="AH14" s="119" t="s">
        <v>158</v>
      </c>
      <c r="AI14" s="119">
        <v>18</v>
      </c>
      <c r="AJ14" s="119" t="s">
        <v>152</v>
      </c>
      <c r="AK14" s="119" t="s">
        <v>136</v>
      </c>
    </row>
    <row r="15" spans="1:37" ht="15.75" thickBot="1" x14ac:dyDescent="0.3">
      <c r="A15" s="32"/>
      <c r="B15" s="32"/>
      <c r="C15" s="33" t="s">
        <v>199</v>
      </c>
      <c r="D15" s="35" t="s">
        <v>200</v>
      </c>
      <c r="E15" s="35" t="s">
        <v>201</v>
      </c>
      <c r="F15" s="35">
        <v>37</v>
      </c>
      <c r="G15" s="35" t="s">
        <v>202</v>
      </c>
      <c r="H15" s="35" t="s">
        <v>203</v>
      </c>
      <c r="I15" s="35" t="s">
        <v>204</v>
      </c>
      <c r="J15" s="35" t="s">
        <v>205</v>
      </c>
      <c r="K15" s="35" t="s">
        <v>206</v>
      </c>
      <c r="L15" s="35" t="s">
        <v>207</v>
      </c>
      <c r="M15" s="35">
        <v>56</v>
      </c>
      <c r="N15" s="35" t="s">
        <v>208</v>
      </c>
      <c r="O15" s="35" t="s">
        <v>209</v>
      </c>
      <c r="P15" s="35">
        <v>65</v>
      </c>
      <c r="Q15" s="35" t="s">
        <v>210</v>
      </c>
      <c r="R15" s="35" t="s">
        <v>211</v>
      </c>
      <c r="S15" s="35" t="s">
        <v>88</v>
      </c>
      <c r="T15" s="32"/>
      <c r="U15" s="77" t="s">
        <v>199</v>
      </c>
      <c r="V15" s="119" t="s">
        <v>147</v>
      </c>
      <c r="W15" s="119">
        <v>56</v>
      </c>
      <c r="X15" s="119" t="s">
        <v>225</v>
      </c>
      <c r="Y15" s="119" t="s">
        <v>221</v>
      </c>
      <c r="Z15" s="119" t="s">
        <v>217</v>
      </c>
      <c r="AA15" s="119" t="s">
        <v>175</v>
      </c>
      <c r="AB15" s="119">
        <v>79</v>
      </c>
      <c r="AC15" s="119">
        <v>20</v>
      </c>
      <c r="AD15" s="119" t="s">
        <v>130</v>
      </c>
      <c r="AE15" s="119" t="s">
        <v>191</v>
      </c>
      <c r="AF15" s="119" t="s">
        <v>118</v>
      </c>
      <c r="AG15" s="119" t="s">
        <v>104</v>
      </c>
      <c r="AH15" s="119">
        <v>78</v>
      </c>
      <c r="AI15" s="119" t="s">
        <v>176</v>
      </c>
      <c r="AJ15" s="119" t="s">
        <v>138</v>
      </c>
      <c r="AK15" s="119" t="s">
        <v>208</v>
      </c>
    </row>
    <row r="16" spans="1:37" ht="15.75" thickBot="1" x14ac:dyDescent="0.3">
      <c r="A16" s="32"/>
      <c r="B16" s="32"/>
      <c r="C16" s="33" t="s">
        <v>118</v>
      </c>
      <c r="D16" s="35" t="s">
        <v>212</v>
      </c>
      <c r="E16" s="35">
        <v>78</v>
      </c>
      <c r="F16" s="35">
        <v>25</v>
      </c>
      <c r="G16" s="35" t="s">
        <v>213</v>
      </c>
      <c r="H16" s="35" t="s">
        <v>214</v>
      </c>
      <c r="I16" s="35" t="s">
        <v>215</v>
      </c>
      <c r="J16" s="35" t="s">
        <v>216</v>
      </c>
      <c r="K16" s="35" t="s">
        <v>217</v>
      </c>
      <c r="L16" s="35" t="s">
        <v>218</v>
      </c>
      <c r="M16" s="35" t="s">
        <v>219</v>
      </c>
      <c r="N16" s="35">
        <v>74</v>
      </c>
      <c r="O16" s="35" t="s">
        <v>220</v>
      </c>
      <c r="P16" s="35" t="s">
        <v>221</v>
      </c>
      <c r="Q16" s="35" t="s">
        <v>222</v>
      </c>
      <c r="R16" s="35" t="s">
        <v>223</v>
      </c>
      <c r="S16" s="35" t="s">
        <v>224</v>
      </c>
      <c r="T16" s="32"/>
      <c r="U16" s="77" t="s">
        <v>118</v>
      </c>
      <c r="V16" s="119" t="s">
        <v>220</v>
      </c>
      <c r="W16" s="119" t="s">
        <v>219</v>
      </c>
      <c r="X16" s="119" t="s">
        <v>165</v>
      </c>
      <c r="Y16" s="119">
        <v>33</v>
      </c>
      <c r="Z16" s="119">
        <v>88</v>
      </c>
      <c r="AA16" s="119" t="s">
        <v>87</v>
      </c>
      <c r="AB16" s="119" t="s">
        <v>128</v>
      </c>
      <c r="AC16" s="119">
        <v>31</v>
      </c>
      <c r="AD16" s="119" t="s">
        <v>148</v>
      </c>
      <c r="AE16" s="119">
        <v>12</v>
      </c>
      <c r="AF16" s="119">
        <v>10</v>
      </c>
      <c r="AG16" s="119">
        <v>59</v>
      </c>
      <c r="AH16" s="119">
        <v>27</v>
      </c>
      <c r="AI16" s="119">
        <v>80</v>
      </c>
      <c r="AJ16" s="119" t="s">
        <v>177</v>
      </c>
      <c r="AK16" s="119" t="s">
        <v>178</v>
      </c>
    </row>
    <row r="17" spans="1:37" ht="15.75" thickBot="1" x14ac:dyDescent="0.3">
      <c r="A17" s="32"/>
      <c r="B17" s="32"/>
      <c r="C17" s="33" t="s">
        <v>156</v>
      </c>
      <c r="D17" s="35">
        <v>70</v>
      </c>
      <c r="E17" s="35" t="s">
        <v>225</v>
      </c>
      <c r="F17" s="35" t="s">
        <v>226</v>
      </c>
      <c r="G17" s="35">
        <v>66</v>
      </c>
      <c r="H17" s="35">
        <v>48</v>
      </c>
      <c r="I17" s="35" t="s">
        <v>83</v>
      </c>
      <c r="J17" s="35" t="s">
        <v>227</v>
      </c>
      <c r="K17" s="35" t="s">
        <v>95</v>
      </c>
      <c r="L17" s="35">
        <v>61</v>
      </c>
      <c r="M17" s="35">
        <v>35</v>
      </c>
      <c r="N17" s="35">
        <v>57</v>
      </c>
      <c r="O17" s="35" t="s">
        <v>228</v>
      </c>
      <c r="P17" s="35">
        <v>86</v>
      </c>
      <c r="Q17" s="35" t="s">
        <v>229</v>
      </c>
      <c r="R17" s="35" t="s">
        <v>230</v>
      </c>
      <c r="S17" s="35" t="s">
        <v>231</v>
      </c>
      <c r="T17" s="32"/>
      <c r="U17" s="77" t="s">
        <v>156</v>
      </c>
      <c r="V17" s="119">
        <v>60</v>
      </c>
      <c r="W17" s="119">
        <v>51</v>
      </c>
      <c r="X17" s="119" t="s">
        <v>162</v>
      </c>
      <c r="Y17" s="119" t="s">
        <v>206</v>
      </c>
      <c r="Z17" s="119">
        <v>19</v>
      </c>
      <c r="AA17" s="119" t="s">
        <v>226</v>
      </c>
      <c r="AB17" s="119" t="s">
        <v>153</v>
      </c>
      <c r="AC17" s="119" t="s">
        <v>94</v>
      </c>
      <c r="AD17" s="119" t="s">
        <v>245</v>
      </c>
      <c r="AE17" s="119" t="s">
        <v>125</v>
      </c>
      <c r="AF17" s="119" t="s">
        <v>210</v>
      </c>
      <c r="AG17" s="119" t="s">
        <v>164</v>
      </c>
      <c r="AH17" s="119">
        <v>93</v>
      </c>
      <c r="AI17" s="119" t="s">
        <v>108</v>
      </c>
      <c r="AJ17" s="119" t="s">
        <v>116</v>
      </c>
      <c r="AK17" s="119" t="s">
        <v>157</v>
      </c>
    </row>
    <row r="18" spans="1:37" ht="15.75" thickBot="1" x14ac:dyDescent="0.3">
      <c r="A18" s="32"/>
      <c r="B18" s="32"/>
      <c r="C18" s="33" t="s">
        <v>192</v>
      </c>
      <c r="D18" s="35" t="s">
        <v>232</v>
      </c>
      <c r="E18" s="35" t="s">
        <v>233</v>
      </c>
      <c r="F18" s="35">
        <v>98</v>
      </c>
      <c r="G18" s="35">
        <v>11</v>
      </c>
      <c r="H18" s="35">
        <v>69</v>
      </c>
      <c r="I18" s="35" t="s">
        <v>234</v>
      </c>
      <c r="J18" s="35" t="s">
        <v>235</v>
      </c>
      <c r="K18" s="35">
        <v>94</v>
      </c>
      <c r="L18" s="35" t="s">
        <v>236</v>
      </c>
      <c r="M18" s="35" t="s">
        <v>237</v>
      </c>
      <c r="N18" s="35">
        <v>87</v>
      </c>
      <c r="O18" s="35" t="s">
        <v>238</v>
      </c>
      <c r="P18" s="35" t="s">
        <v>239</v>
      </c>
      <c r="Q18" s="35">
        <v>55</v>
      </c>
      <c r="R18" s="35">
        <v>28</v>
      </c>
      <c r="S18" s="35" t="s">
        <v>240</v>
      </c>
      <c r="T18" s="32"/>
      <c r="U18" s="77" t="s">
        <v>192</v>
      </c>
      <c r="V18" s="119" t="s">
        <v>139</v>
      </c>
      <c r="W18" s="119" t="s">
        <v>192</v>
      </c>
      <c r="X18" s="119" t="s">
        <v>140</v>
      </c>
      <c r="Y18" s="119" t="s">
        <v>160</v>
      </c>
      <c r="Z18" s="119" t="s">
        <v>211</v>
      </c>
      <c r="AA18" s="119" t="s">
        <v>186</v>
      </c>
      <c r="AB18" s="119" t="s">
        <v>169</v>
      </c>
      <c r="AC18" s="119" t="s">
        <v>199</v>
      </c>
      <c r="AD18" s="119" t="s">
        <v>201</v>
      </c>
      <c r="AE18" s="119" t="s">
        <v>132</v>
      </c>
      <c r="AF18" s="119" t="s">
        <v>246</v>
      </c>
      <c r="AG18" s="119" t="s">
        <v>163</v>
      </c>
      <c r="AH18" s="119">
        <v>83</v>
      </c>
      <c r="AI18" s="119">
        <v>53</v>
      </c>
      <c r="AJ18" s="119">
        <v>99</v>
      </c>
      <c r="AK18" s="119">
        <v>61</v>
      </c>
    </row>
    <row r="19" spans="1:37" ht="15.75" thickBot="1" x14ac:dyDescent="0.3">
      <c r="A19" s="32"/>
      <c r="B19" s="32"/>
      <c r="C19" s="33" t="s">
        <v>111</v>
      </c>
      <c r="D19" s="35" t="s">
        <v>241</v>
      </c>
      <c r="E19" s="35" t="s">
        <v>242</v>
      </c>
      <c r="F19" s="35">
        <v>89</v>
      </c>
      <c r="G19" s="35" t="s">
        <v>94</v>
      </c>
      <c r="H19" s="35" t="s">
        <v>243</v>
      </c>
      <c r="I19" s="35" t="s">
        <v>244</v>
      </c>
      <c r="J19" s="35">
        <v>42</v>
      </c>
      <c r="K19" s="35">
        <v>68</v>
      </c>
      <c r="L19" s="35">
        <v>41</v>
      </c>
      <c r="M19" s="35">
        <v>99</v>
      </c>
      <c r="N19" s="35" t="s">
        <v>245</v>
      </c>
      <c r="O19" s="35" t="s">
        <v>96</v>
      </c>
      <c r="P19" s="35" t="s">
        <v>199</v>
      </c>
      <c r="Q19" s="35">
        <v>54</v>
      </c>
      <c r="R19" s="35" t="s">
        <v>246</v>
      </c>
      <c r="S19" s="35">
        <v>16</v>
      </c>
      <c r="T19" s="32"/>
      <c r="U19" s="77" t="s">
        <v>111</v>
      </c>
      <c r="V19" s="119">
        <v>17</v>
      </c>
      <c r="W19" s="119" t="s">
        <v>103</v>
      </c>
      <c r="X19" s="119" t="s">
        <v>84</v>
      </c>
      <c r="Y19" s="119" t="s">
        <v>181</v>
      </c>
      <c r="Z19" s="119" t="s">
        <v>212</v>
      </c>
      <c r="AA19" s="119">
        <v>77</v>
      </c>
      <c r="AB19" s="119" t="s">
        <v>141</v>
      </c>
      <c r="AC19" s="119">
        <v>26</v>
      </c>
      <c r="AD19" s="119" t="s">
        <v>232</v>
      </c>
      <c r="AE19" s="119">
        <v>69</v>
      </c>
      <c r="AF19" s="119">
        <v>14</v>
      </c>
      <c r="AG19" s="119">
        <v>63</v>
      </c>
      <c r="AH19" s="119">
        <v>55</v>
      </c>
      <c r="AI19" s="119">
        <v>21</v>
      </c>
      <c r="AJ19" s="119" t="s">
        <v>93</v>
      </c>
      <c r="AK19" s="119" t="s">
        <v>109</v>
      </c>
    </row>
    <row r="20" spans="1:37" x14ac:dyDescent="0.25">
      <c r="A20" s="32"/>
      <c r="B20" s="32"/>
      <c r="C20" s="32"/>
      <c r="D20" s="32"/>
      <c r="E20" s="32"/>
      <c r="F20" s="32"/>
      <c r="G20" s="32"/>
      <c r="H20" s="32"/>
      <c r="I20" s="32"/>
      <c r="J20" s="32"/>
      <c r="K20" s="32"/>
      <c r="L20" s="32"/>
      <c r="M20" s="32"/>
      <c r="N20" s="32"/>
      <c r="O20" s="32"/>
      <c r="P20" s="32"/>
      <c r="Q20" s="32"/>
      <c r="R20" s="32"/>
      <c r="S20" s="32"/>
      <c r="T20" s="32"/>
      <c r="U20" s="32"/>
      <c r="V20" s="32"/>
    </row>
    <row r="21" spans="1:37" ht="15.75" thickBot="1" x14ac:dyDescent="0.3">
      <c r="A21" s="32"/>
      <c r="B21" s="32"/>
      <c r="C21" s="382" t="s">
        <v>252</v>
      </c>
      <c r="D21" s="382"/>
      <c r="E21" s="382"/>
      <c r="F21" s="382"/>
      <c r="G21" s="382"/>
      <c r="H21" s="382"/>
      <c r="I21" s="382"/>
      <c r="J21" s="382"/>
      <c r="K21" s="382"/>
      <c r="L21" s="382"/>
      <c r="M21" s="382"/>
      <c r="N21" s="382"/>
      <c r="O21" s="382"/>
      <c r="P21" s="382"/>
      <c r="Q21" s="382"/>
      <c r="R21" s="382"/>
      <c r="S21" s="382"/>
      <c r="T21" s="32"/>
      <c r="U21" s="383" t="s">
        <v>439</v>
      </c>
      <c r="V21" s="383"/>
      <c r="W21" s="383"/>
      <c r="X21" s="383"/>
      <c r="Y21" s="383"/>
      <c r="Z21" s="383"/>
      <c r="AA21" s="383"/>
      <c r="AB21" s="383"/>
      <c r="AC21" s="383"/>
      <c r="AD21" s="383"/>
      <c r="AE21" s="383"/>
      <c r="AF21" s="383"/>
      <c r="AG21" s="383"/>
      <c r="AH21" s="383"/>
      <c r="AI21" s="383"/>
      <c r="AJ21" s="383"/>
      <c r="AK21" s="383"/>
    </row>
    <row r="22" spans="1:37" x14ac:dyDescent="0.25">
      <c r="A22" s="32"/>
      <c r="B22" s="32"/>
      <c r="C22" s="103"/>
      <c r="D22" s="104">
        <f>HEX2DEC(D3)</f>
        <v>0</v>
      </c>
      <c r="E22" s="104">
        <f t="shared" ref="E22:S22" si="0">HEX2DEC(E3)</f>
        <v>1</v>
      </c>
      <c r="F22" s="104">
        <f t="shared" si="0"/>
        <v>2</v>
      </c>
      <c r="G22" s="104">
        <f t="shared" si="0"/>
        <v>3</v>
      </c>
      <c r="H22" s="104">
        <f t="shared" si="0"/>
        <v>4</v>
      </c>
      <c r="I22" s="104">
        <f t="shared" si="0"/>
        <v>5</v>
      </c>
      <c r="J22" s="104">
        <f t="shared" si="0"/>
        <v>6</v>
      </c>
      <c r="K22" s="104">
        <f t="shared" si="0"/>
        <v>7</v>
      </c>
      <c r="L22" s="104">
        <f t="shared" si="0"/>
        <v>8</v>
      </c>
      <c r="M22" s="104">
        <f t="shared" si="0"/>
        <v>9</v>
      </c>
      <c r="N22" s="104">
        <f t="shared" si="0"/>
        <v>10</v>
      </c>
      <c r="O22" s="104">
        <f t="shared" si="0"/>
        <v>11</v>
      </c>
      <c r="P22" s="104">
        <f t="shared" si="0"/>
        <v>12</v>
      </c>
      <c r="Q22" s="104">
        <f t="shared" si="0"/>
        <v>13</v>
      </c>
      <c r="R22" s="104">
        <f t="shared" si="0"/>
        <v>14</v>
      </c>
      <c r="S22" s="104">
        <f t="shared" si="0"/>
        <v>15</v>
      </c>
      <c r="T22" s="32"/>
      <c r="U22" s="103"/>
      <c r="V22" s="104">
        <f>HEX2DEC(V3)</f>
        <v>0</v>
      </c>
      <c r="W22" s="104">
        <f t="shared" ref="W22:AJ22" si="1">HEX2DEC(W3)</f>
        <v>1</v>
      </c>
      <c r="X22" s="104">
        <f t="shared" si="1"/>
        <v>2</v>
      </c>
      <c r="Y22" s="104">
        <f t="shared" si="1"/>
        <v>3</v>
      </c>
      <c r="Z22" s="104">
        <f t="shared" si="1"/>
        <v>4</v>
      </c>
      <c r="AA22" s="104">
        <f t="shared" si="1"/>
        <v>5</v>
      </c>
      <c r="AB22" s="104">
        <f t="shared" si="1"/>
        <v>6</v>
      </c>
      <c r="AC22" s="104">
        <f t="shared" si="1"/>
        <v>7</v>
      </c>
      <c r="AD22" s="104">
        <f t="shared" si="1"/>
        <v>8</v>
      </c>
      <c r="AE22" s="104">
        <f t="shared" si="1"/>
        <v>9</v>
      </c>
      <c r="AF22" s="104">
        <f t="shared" si="1"/>
        <v>10</v>
      </c>
      <c r="AG22" s="104">
        <f t="shared" si="1"/>
        <v>11</v>
      </c>
      <c r="AH22" s="104">
        <f t="shared" si="1"/>
        <v>12</v>
      </c>
      <c r="AI22" s="104">
        <f t="shared" si="1"/>
        <v>13</v>
      </c>
      <c r="AJ22" s="104">
        <f t="shared" si="1"/>
        <v>14</v>
      </c>
      <c r="AK22" s="104">
        <f>HEX2DEC(AK3)</f>
        <v>15</v>
      </c>
    </row>
    <row r="23" spans="1:37" x14ac:dyDescent="0.25">
      <c r="A23" s="32"/>
      <c r="B23" s="32"/>
      <c r="C23" s="104">
        <f>HEX2DEC(C4)</f>
        <v>0</v>
      </c>
      <c r="D23" s="105">
        <f>HEX2DEC(D4)</f>
        <v>99</v>
      </c>
      <c r="E23" s="105">
        <f t="shared" ref="E23:S23" si="2">HEX2DEC(E4)</f>
        <v>124</v>
      </c>
      <c r="F23" s="105">
        <f t="shared" si="2"/>
        <v>119</v>
      </c>
      <c r="G23" s="105">
        <f t="shared" si="2"/>
        <v>123</v>
      </c>
      <c r="H23" s="105">
        <f t="shared" si="2"/>
        <v>242</v>
      </c>
      <c r="I23" s="105">
        <f t="shared" si="2"/>
        <v>107</v>
      </c>
      <c r="J23" s="105">
        <f t="shared" si="2"/>
        <v>111</v>
      </c>
      <c r="K23" s="105">
        <f t="shared" si="2"/>
        <v>197</v>
      </c>
      <c r="L23" s="105">
        <f t="shared" si="2"/>
        <v>48</v>
      </c>
      <c r="M23" s="105">
        <f t="shared" si="2"/>
        <v>1</v>
      </c>
      <c r="N23" s="105">
        <f t="shared" si="2"/>
        <v>103</v>
      </c>
      <c r="O23" s="105">
        <f t="shared" si="2"/>
        <v>43</v>
      </c>
      <c r="P23" s="105">
        <f t="shared" si="2"/>
        <v>254</v>
      </c>
      <c r="Q23" s="105">
        <f t="shared" si="2"/>
        <v>215</v>
      </c>
      <c r="R23" s="105">
        <f t="shared" si="2"/>
        <v>171</v>
      </c>
      <c r="S23" s="105">
        <f t="shared" si="2"/>
        <v>118</v>
      </c>
      <c r="T23" s="32"/>
      <c r="U23" s="104">
        <f>HEX2DEC(U4)</f>
        <v>0</v>
      </c>
      <c r="V23" s="105">
        <f>HEX2DEC(V4)</f>
        <v>82</v>
      </c>
      <c r="W23" s="105">
        <f t="shared" ref="W23:AK23" si="3">HEX2DEC(W4)</f>
        <v>9</v>
      </c>
      <c r="X23" s="105">
        <f t="shared" si="3"/>
        <v>106</v>
      </c>
      <c r="Y23" s="105">
        <f t="shared" si="3"/>
        <v>213</v>
      </c>
      <c r="Z23" s="105">
        <f t="shared" si="3"/>
        <v>48</v>
      </c>
      <c r="AA23" s="105">
        <f t="shared" si="3"/>
        <v>54</v>
      </c>
      <c r="AB23" s="105">
        <f t="shared" si="3"/>
        <v>165</v>
      </c>
      <c r="AC23" s="105">
        <f t="shared" si="3"/>
        <v>56</v>
      </c>
      <c r="AD23" s="105">
        <f t="shared" si="3"/>
        <v>191</v>
      </c>
      <c r="AE23" s="105">
        <f t="shared" si="3"/>
        <v>64</v>
      </c>
      <c r="AF23" s="105">
        <f t="shared" si="3"/>
        <v>163</v>
      </c>
      <c r="AG23" s="105">
        <f t="shared" si="3"/>
        <v>158</v>
      </c>
      <c r="AH23" s="105">
        <f t="shared" si="3"/>
        <v>129</v>
      </c>
      <c r="AI23" s="105">
        <f t="shared" si="3"/>
        <v>243</v>
      </c>
      <c r="AJ23" s="105">
        <f t="shared" si="3"/>
        <v>215</v>
      </c>
      <c r="AK23" s="105">
        <f t="shared" si="3"/>
        <v>251</v>
      </c>
    </row>
    <row r="24" spans="1:37" x14ac:dyDescent="0.25">
      <c r="A24" s="32"/>
      <c r="B24" s="32"/>
      <c r="C24" s="104">
        <f t="shared" ref="C24:C38" si="4">HEX2DEC(C5)</f>
        <v>16</v>
      </c>
      <c r="D24" s="105">
        <f t="shared" ref="D24:S24" si="5">HEX2DEC(D5)</f>
        <v>202</v>
      </c>
      <c r="E24" s="105">
        <f t="shared" si="5"/>
        <v>130</v>
      </c>
      <c r="F24" s="105">
        <f>HEX2DEC(F5)</f>
        <v>201</v>
      </c>
      <c r="G24" s="105">
        <f t="shared" si="5"/>
        <v>125</v>
      </c>
      <c r="H24" s="105">
        <f t="shared" si="5"/>
        <v>250</v>
      </c>
      <c r="I24" s="105">
        <f t="shared" si="5"/>
        <v>89</v>
      </c>
      <c r="J24" s="105">
        <f t="shared" si="5"/>
        <v>71</v>
      </c>
      <c r="K24" s="105">
        <f>HEX2DEC(K5)</f>
        <v>240</v>
      </c>
      <c r="L24" s="105">
        <f t="shared" si="5"/>
        <v>173</v>
      </c>
      <c r="M24" s="105">
        <f t="shared" si="5"/>
        <v>212</v>
      </c>
      <c r="N24" s="105">
        <f t="shared" si="5"/>
        <v>162</v>
      </c>
      <c r="O24" s="105">
        <f t="shared" si="5"/>
        <v>175</v>
      </c>
      <c r="P24" s="105">
        <f t="shared" si="5"/>
        <v>156</v>
      </c>
      <c r="Q24" s="105">
        <f t="shared" si="5"/>
        <v>164</v>
      </c>
      <c r="R24" s="105">
        <f t="shared" si="5"/>
        <v>114</v>
      </c>
      <c r="S24" s="105">
        <f t="shared" si="5"/>
        <v>192</v>
      </c>
      <c r="T24" s="32"/>
      <c r="U24" s="104">
        <f t="shared" ref="U24:AJ38" si="6">HEX2DEC(U5)</f>
        <v>16</v>
      </c>
      <c r="V24" s="105">
        <f t="shared" si="6"/>
        <v>124</v>
      </c>
      <c r="W24" s="105">
        <f t="shared" si="6"/>
        <v>227</v>
      </c>
      <c r="X24" s="105">
        <f t="shared" si="6"/>
        <v>57</v>
      </c>
      <c r="Y24" s="105">
        <f t="shared" si="6"/>
        <v>130</v>
      </c>
      <c r="Z24" s="105">
        <f t="shared" si="6"/>
        <v>155</v>
      </c>
      <c r="AA24" s="105">
        <f t="shared" si="6"/>
        <v>47</v>
      </c>
      <c r="AB24" s="105">
        <f t="shared" si="6"/>
        <v>255</v>
      </c>
      <c r="AC24" s="105">
        <f>HEX2DEC(AC5)</f>
        <v>135</v>
      </c>
      <c r="AD24" s="105">
        <f t="shared" ref="AD24:AK24" si="7">HEX2DEC(AD5)</f>
        <v>52</v>
      </c>
      <c r="AE24" s="105">
        <f t="shared" si="7"/>
        <v>142</v>
      </c>
      <c r="AF24" s="105">
        <f t="shared" si="7"/>
        <v>67</v>
      </c>
      <c r="AG24" s="105">
        <f t="shared" si="7"/>
        <v>68</v>
      </c>
      <c r="AH24" s="105">
        <f t="shared" si="7"/>
        <v>196</v>
      </c>
      <c r="AI24" s="105">
        <f t="shared" si="7"/>
        <v>222</v>
      </c>
      <c r="AJ24" s="105">
        <f t="shared" si="7"/>
        <v>233</v>
      </c>
      <c r="AK24" s="105">
        <f t="shared" si="7"/>
        <v>203</v>
      </c>
    </row>
    <row r="25" spans="1:37" x14ac:dyDescent="0.25">
      <c r="A25" s="32"/>
      <c r="B25" s="32"/>
      <c r="C25" s="104">
        <f t="shared" si="4"/>
        <v>32</v>
      </c>
      <c r="D25" s="105">
        <f t="shared" ref="D25:S25" si="8">HEX2DEC(D6)</f>
        <v>183</v>
      </c>
      <c r="E25" s="105">
        <f t="shared" si="8"/>
        <v>253</v>
      </c>
      <c r="F25" s="105">
        <f t="shared" si="8"/>
        <v>147</v>
      </c>
      <c r="G25" s="105">
        <f t="shared" si="8"/>
        <v>38</v>
      </c>
      <c r="H25" s="105">
        <f t="shared" si="8"/>
        <v>54</v>
      </c>
      <c r="I25" s="105">
        <f t="shared" si="8"/>
        <v>63</v>
      </c>
      <c r="J25" s="105">
        <f t="shared" si="8"/>
        <v>247</v>
      </c>
      <c r="K25" s="105">
        <f t="shared" si="8"/>
        <v>204</v>
      </c>
      <c r="L25" s="105">
        <f t="shared" si="8"/>
        <v>52</v>
      </c>
      <c r="M25" s="105">
        <f t="shared" si="8"/>
        <v>165</v>
      </c>
      <c r="N25" s="105">
        <f t="shared" si="8"/>
        <v>229</v>
      </c>
      <c r="O25" s="105">
        <f t="shared" si="8"/>
        <v>241</v>
      </c>
      <c r="P25" s="105">
        <f t="shared" si="8"/>
        <v>113</v>
      </c>
      <c r="Q25" s="105">
        <f t="shared" si="8"/>
        <v>216</v>
      </c>
      <c r="R25" s="105">
        <f t="shared" si="8"/>
        <v>49</v>
      </c>
      <c r="S25" s="105">
        <f t="shared" si="8"/>
        <v>21</v>
      </c>
      <c r="T25" s="32"/>
      <c r="U25" s="104">
        <f t="shared" si="6"/>
        <v>32</v>
      </c>
      <c r="V25" s="105">
        <f t="shared" si="6"/>
        <v>84</v>
      </c>
      <c r="W25" s="105">
        <f t="shared" si="6"/>
        <v>123</v>
      </c>
      <c r="X25" s="105">
        <f t="shared" si="6"/>
        <v>148</v>
      </c>
      <c r="Y25" s="105">
        <f t="shared" si="6"/>
        <v>50</v>
      </c>
      <c r="Z25" s="105">
        <f t="shared" si="6"/>
        <v>166</v>
      </c>
      <c r="AA25" s="105">
        <f t="shared" si="6"/>
        <v>194</v>
      </c>
      <c r="AB25" s="105">
        <f t="shared" si="6"/>
        <v>35</v>
      </c>
      <c r="AC25" s="105">
        <f t="shared" si="6"/>
        <v>61</v>
      </c>
      <c r="AD25" s="105">
        <f t="shared" si="6"/>
        <v>238</v>
      </c>
      <c r="AE25" s="105">
        <f t="shared" si="6"/>
        <v>76</v>
      </c>
      <c r="AF25" s="105">
        <f t="shared" si="6"/>
        <v>149</v>
      </c>
      <c r="AG25" s="105">
        <f t="shared" si="6"/>
        <v>11</v>
      </c>
      <c r="AH25" s="105">
        <f t="shared" si="6"/>
        <v>66</v>
      </c>
      <c r="AI25" s="105">
        <f t="shared" si="6"/>
        <v>250</v>
      </c>
      <c r="AJ25" s="105">
        <f t="shared" si="6"/>
        <v>195</v>
      </c>
      <c r="AK25" s="105">
        <f t="shared" ref="AK25" si="9">HEX2DEC(AK6)</f>
        <v>78</v>
      </c>
    </row>
    <row r="26" spans="1:37" x14ac:dyDescent="0.25">
      <c r="C26" s="104">
        <f t="shared" si="4"/>
        <v>48</v>
      </c>
      <c r="D26" s="105">
        <f t="shared" ref="D26:S26" si="10">HEX2DEC(D7)</f>
        <v>4</v>
      </c>
      <c r="E26" s="105">
        <f t="shared" si="10"/>
        <v>199</v>
      </c>
      <c r="F26" s="105">
        <f t="shared" si="10"/>
        <v>35</v>
      </c>
      <c r="G26" s="105">
        <f t="shared" si="10"/>
        <v>195</v>
      </c>
      <c r="H26" s="105">
        <f t="shared" si="10"/>
        <v>24</v>
      </c>
      <c r="I26" s="105">
        <f t="shared" si="10"/>
        <v>150</v>
      </c>
      <c r="J26" s="105">
        <f t="shared" si="10"/>
        <v>5</v>
      </c>
      <c r="K26" s="105">
        <f t="shared" si="10"/>
        <v>154</v>
      </c>
      <c r="L26" s="105">
        <f t="shared" si="10"/>
        <v>7</v>
      </c>
      <c r="M26" s="105">
        <f t="shared" si="10"/>
        <v>18</v>
      </c>
      <c r="N26" s="105">
        <f t="shared" si="10"/>
        <v>128</v>
      </c>
      <c r="O26" s="105">
        <f t="shared" si="10"/>
        <v>226</v>
      </c>
      <c r="P26" s="105">
        <f t="shared" si="10"/>
        <v>235</v>
      </c>
      <c r="Q26" s="105">
        <f t="shared" si="10"/>
        <v>39</v>
      </c>
      <c r="R26" s="105">
        <f t="shared" si="10"/>
        <v>178</v>
      </c>
      <c r="S26" s="105">
        <f t="shared" si="10"/>
        <v>117</v>
      </c>
      <c r="U26" s="104">
        <f t="shared" si="6"/>
        <v>48</v>
      </c>
      <c r="V26" s="105">
        <f t="shared" si="6"/>
        <v>8</v>
      </c>
      <c r="W26" s="105">
        <f t="shared" si="6"/>
        <v>46</v>
      </c>
      <c r="X26" s="105">
        <f t="shared" si="6"/>
        <v>161</v>
      </c>
      <c r="Y26" s="105">
        <f t="shared" si="6"/>
        <v>102</v>
      </c>
      <c r="Z26" s="105">
        <f t="shared" si="6"/>
        <v>40</v>
      </c>
      <c r="AA26" s="105">
        <f t="shared" si="6"/>
        <v>217</v>
      </c>
      <c r="AB26" s="105">
        <f t="shared" si="6"/>
        <v>36</v>
      </c>
      <c r="AC26" s="105">
        <f t="shared" si="6"/>
        <v>178</v>
      </c>
      <c r="AD26" s="105">
        <f t="shared" si="6"/>
        <v>118</v>
      </c>
      <c r="AE26" s="105">
        <f t="shared" si="6"/>
        <v>91</v>
      </c>
      <c r="AF26" s="105">
        <f t="shared" si="6"/>
        <v>162</v>
      </c>
      <c r="AG26" s="105">
        <f t="shared" si="6"/>
        <v>73</v>
      </c>
      <c r="AH26" s="105">
        <f t="shared" si="6"/>
        <v>109</v>
      </c>
      <c r="AI26" s="105">
        <f t="shared" si="6"/>
        <v>139</v>
      </c>
      <c r="AJ26" s="105">
        <f t="shared" si="6"/>
        <v>209</v>
      </c>
      <c r="AK26" s="105">
        <f t="shared" ref="AK26" si="11">HEX2DEC(AK7)</f>
        <v>37</v>
      </c>
    </row>
    <row r="27" spans="1:37" x14ac:dyDescent="0.25">
      <c r="C27" s="104">
        <f t="shared" si="4"/>
        <v>64</v>
      </c>
      <c r="D27" s="105">
        <f t="shared" ref="D27:S27" si="12">HEX2DEC(D8)</f>
        <v>9</v>
      </c>
      <c r="E27" s="105">
        <f t="shared" si="12"/>
        <v>131</v>
      </c>
      <c r="F27" s="105">
        <f t="shared" si="12"/>
        <v>44</v>
      </c>
      <c r="G27" s="105">
        <f t="shared" si="12"/>
        <v>26</v>
      </c>
      <c r="H27" s="105">
        <f t="shared" si="12"/>
        <v>27</v>
      </c>
      <c r="I27" s="105">
        <f t="shared" si="12"/>
        <v>110</v>
      </c>
      <c r="J27" s="105">
        <f t="shared" si="12"/>
        <v>90</v>
      </c>
      <c r="K27" s="105">
        <f t="shared" si="12"/>
        <v>160</v>
      </c>
      <c r="L27" s="105">
        <f t="shared" si="12"/>
        <v>82</v>
      </c>
      <c r="M27" s="105">
        <f t="shared" si="12"/>
        <v>59</v>
      </c>
      <c r="N27" s="105">
        <f t="shared" si="12"/>
        <v>214</v>
      </c>
      <c r="O27" s="105">
        <f t="shared" si="12"/>
        <v>179</v>
      </c>
      <c r="P27" s="105">
        <f t="shared" si="12"/>
        <v>41</v>
      </c>
      <c r="Q27" s="105">
        <f t="shared" si="12"/>
        <v>227</v>
      </c>
      <c r="R27" s="105">
        <f t="shared" si="12"/>
        <v>47</v>
      </c>
      <c r="S27" s="105">
        <f t="shared" si="12"/>
        <v>132</v>
      </c>
      <c r="U27" s="104">
        <f t="shared" si="6"/>
        <v>64</v>
      </c>
      <c r="V27" s="105">
        <f t="shared" si="6"/>
        <v>114</v>
      </c>
      <c r="W27" s="105">
        <f t="shared" si="6"/>
        <v>248</v>
      </c>
      <c r="X27" s="105">
        <f t="shared" si="6"/>
        <v>246</v>
      </c>
      <c r="Y27" s="105">
        <f t="shared" si="6"/>
        <v>100</v>
      </c>
      <c r="Z27" s="105">
        <f t="shared" si="6"/>
        <v>134</v>
      </c>
      <c r="AA27" s="105">
        <f t="shared" si="6"/>
        <v>104</v>
      </c>
      <c r="AB27" s="105">
        <f t="shared" si="6"/>
        <v>152</v>
      </c>
      <c r="AC27" s="105">
        <f t="shared" si="6"/>
        <v>22</v>
      </c>
      <c r="AD27" s="105">
        <f t="shared" si="6"/>
        <v>212</v>
      </c>
      <c r="AE27" s="105">
        <f t="shared" si="6"/>
        <v>164</v>
      </c>
      <c r="AF27" s="105">
        <f t="shared" si="6"/>
        <v>92</v>
      </c>
      <c r="AG27" s="105">
        <f t="shared" si="6"/>
        <v>204</v>
      </c>
      <c r="AH27" s="105">
        <f t="shared" si="6"/>
        <v>93</v>
      </c>
      <c r="AI27" s="105">
        <f t="shared" si="6"/>
        <v>101</v>
      </c>
      <c r="AJ27" s="105">
        <f t="shared" si="6"/>
        <v>182</v>
      </c>
      <c r="AK27" s="105">
        <f t="shared" ref="AK27" si="13">HEX2DEC(AK8)</f>
        <v>146</v>
      </c>
    </row>
    <row r="28" spans="1:37" x14ac:dyDescent="0.25">
      <c r="C28" s="104">
        <f t="shared" si="4"/>
        <v>80</v>
      </c>
      <c r="D28" s="105">
        <f t="shared" ref="D28:S28" si="14">HEX2DEC(D9)</f>
        <v>83</v>
      </c>
      <c r="E28" s="105">
        <f t="shared" si="14"/>
        <v>209</v>
      </c>
      <c r="F28" s="105">
        <f t="shared" si="14"/>
        <v>0</v>
      </c>
      <c r="G28" s="105">
        <f t="shared" si="14"/>
        <v>237</v>
      </c>
      <c r="H28" s="105">
        <f t="shared" si="14"/>
        <v>32</v>
      </c>
      <c r="I28" s="105">
        <f t="shared" si="14"/>
        <v>252</v>
      </c>
      <c r="J28" s="105">
        <f t="shared" si="14"/>
        <v>177</v>
      </c>
      <c r="K28" s="105">
        <f t="shared" si="14"/>
        <v>91</v>
      </c>
      <c r="L28" s="105">
        <f t="shared" si="14"/>
        <v>106</v>
      </c>
      <c r="M28" s="105">
        <f t="shared" si="14"/>
        <v>203</v>
      </c>
      <c r="N28" s="105">
        <f t="shared" si="14"/>
        <v>190</v>
      </c>
      <c r="O28" s="105">
        <f t="shared" si="14"/>
        <v>57</v>
      </c>
      <c r="P28" s="105">
        <f t="shared" si="14"/>
        <v>74</v>
      </c>
      <c r="Q28" s="105">
        <f t="shared" si="14"/>
        <v>76</v>
      </c>
      <c r="R28" s="105">
        <f t="shared" si="14"/>
        <v>88</v>
      </c>
      <c r="S28" s="105">
        <f t="shared" si="14"/>
        <v>207</v>
      </c>
      <c r="U28" s="104">
        <f t="shared" si="6"/>
        <v>80</v>
      </c>
      <c r="V28" s="105">
        <f t="shared" si="6"/>
        <v>108</v>
      </c>
      <c r="W28" s="105">
        <f t="shared" si="6"/>
        <v>112</v>
      </c>
      <c r="X28" s="105">
        <f t="shared" si="6"/>
        <v>72</v>
      </c>
      <c r="Y28" s="105">
        <f t="shared" si="6"/>
        <v>80</v>
      </c>
      <c r="Z28" s="105">
        <f t="shared" si="6"/>
        <v>253</v>
      </c>
      <c r="AA28" s="105">
        <f t="shared" si="6"/>
        <v>237</v>
      </c>
      <c r="AB28" s="105">
        <f t="shared" si="6"/>
        <v>185</v>
      </c>
      <c r="AC28" s="105">
        <f t="shared" si="6"/>
        <v>218</v>
      </c>
      <c r="AD28" s="105">
        <f t="shared" si="6"/>
        <v>94</v>
      </c>
      <c r="AE28" s="105">
        <f t="shared" si="6"/>
        <v>21</v>
      </c>
      <c r="AF28" s="105">
        <f t="shared" si="6"/>
        <v>70</v>
      </c>
      <c r="AG28" s="105">
        <f t="shared" si="6"/>
        <v>87</v>
      </c>
      <c r="AH28" s="105">
        <f t="shared" si="6"/>
        <v>167</v>
      </c>
      <c r="AI28" s="105">
        <f t="shared" si="6"/>
        <v>141</v>
      </c>
      <c r="AJ28" s="105">
        <f t="shared" si="6"/>
        <v>157</v>
      </c>
      <c r="AK28" s="105">
        <f t="shared" ref="AK28" si="15">HEX2DEC(AK9)</f>
        <v>132</v>
      </c>
    </row>
    <row r="29" spans="1:37" x14ac:dyDescent="0.25">
      <c r="C29" s="104">
        <f t="shared" si="4"/>
        <v>96</v>
      </c>
      <c r="D29" s="105">
        <f t="shared" ref="D29:S29" si="16">HEX2DEC(D10)</f>
        <v>208</v>
      </c>
      <c r="E29" s="105">
        <f t="shared" si="16"/>
        <v>239</v>
      </c>
      <c r="F29" s="105">
        <f t="shared" si="16"/>
        <v>170</v>
      </c>
      <c r="G29" s="105">
        <f t="shared" si="16"/>
        <v>251</v>
      </c>
      <c r="H29" s="105">
        <f t="shared" si="16"/>
        <v>67</v>
      </c>
      <c r="I29" s="105">
        <f t="shared" si="16"/>
        <v>77</v>
      </c>
      <c r="J29" s="105">
        <f t="shared" si="16"/>
        <v>51</v>
      </c>
      <c r="K29" s="105">
        <f t="shared" si="16"/>
        <v>133</v>
      </c>
      <c r="L29" s="105">
        <f t="shared" si="16"/>
        <v>69</v>
      </c>
      <c r="M29" s="105">
        <f t="shared" si="16"/>
        <v>249</v>
      </c>
      <c r="N29" s="105">
        <f t="shared" si="16"/>
        <v>2</v>
      </c>
      <c r="O29" s="105">
        <f t="shared" si="16"/>
        <v>127</v>
      </c>
      <c r="P29" s="105">
        <f t="shared" si="16"/>
        <v>80</v>
      </c>
      <c r="Q29" s="105">
        <f t="shared" si="16"/>
        <v>60</v>
      </c>
      <c r="R29" s="105">
        <f t="shared" si="16"/>
        <v>159</v>
      </c>
      <c r="S29" s="105">
        <f t="shared" si="16"/>
        <v>168</v>
      </c>
      <c r="U29" s="104">
        <f t="shared" si="6"/>
        <v>96</v>
      </c>
      <c r="V29" s="105">
        <f t="shared" si="6"/>
        <v>144</v>
      </c>
      <c r="W29" s="105">
        <f t="shared" si="6"/>
        <v>216</v>
      </c>
      <c r="X29" s="105">
        <f t="shared" si="6"/>
        <v>171</v>
      </c>
      <c r="Y29" s="105">
        <f t="shared" si="6"/>
        <v>0</v>
      </c>
      <c r="Z29" s="105">
        <f t="shared" si="6"/>
        <v>140</v>
      </c>
      <c r="AA29" s="105">
        <f t="shared" si="6"/>
        <v>188</v>
      </c>
      <c r="AB29" s="105">
        <f t="shared" si="6"/>
        <v>211</v>
      </c>
      <c r="AC29" s="105">
        <f t="shared" si="6"/>
        <v>10</v>
      </c>
      <c r="AD29" s="105">
        <f t="shared" si="6"/>
        <v>247</v>
      </c>
      <c r="AE29" s="105">
        <f t="shared" si="6"/>
        <v>228</v>
      </c>
      <c r="AF29" s="105">
        <f t="shared" si="6"/>
        <v>88</v>
      </c>
      <c r="AG29" s="105">
        <f t="shared" si="6"/>
        <v>5</v>
      </c>
      <c r="AH29" s="105">
        <f t="shared" si="6"/>
        <v>184</v>
      </c>
      <c r="AI29" s="105">
        <f t="shared" si="6"/>
        <v>179</v>
      </c>
      <c r="AJ29" s="105">
        <f t="shared" si="6"/>
        <v>69</v>
      </c>
      <c r="AK29" s="105">
        <f t="shared" ref="AK29" si="17">HEX2DEC(AK10)</f>
        <v>6</v>
      </c>
    </row>
    <row r="30" spans="1:37" x14ac:dyDescent="0.25">
      <c r="C30" s="104">
        <f t="shared" si="4"/>
        <v>112</v>
      </c>
      <c r="D30" s="105">
        <f t="shared" ref="D30:S30" si="18">HEX2DEC(D11)</f>
        <v>81</v>
      </c>
      <c r="E30" s="105">
        <f t="shared" si="18"/>
        <v>163</v>
      </c>
      <c r="F30" s="105">
        <f t="shared" si="18"/>
        <v>64</v>
      </c>
      <c r="G30" s="105">
        <f t="shared" si="18"/>
        <v>143</v>
      </c>
      <c r="H30" s="105">
        <f t="shared" si="18"/>
        <v>146</v>
      </c>
      <c r="I30" s="105">
        <f t="shared" si="18"/>
        <v>157</v>
      </c>
      <c r="J30" s="105">
        <f t="shared" si="18"/>
        <v>56</v>
      </c>
      <c r="K30" s="105">
        <f t="shared" si="18"/>
        <v>245</v>
      </c>
      <c r="L30" s="105">
        <f t="shared" si="18"/>
        <v>188</v>
      </c>
      <c r="M30" s="105">
        <f t="shared" si="18"/>
        <v>182</v>
      </c>
      <c r="N30" s="105">
        <f t="shared" si="18"/>
        <v>218</v>
      </c>
      <c r="O30" s="105">
        <f t="shared" si="18"/>
        <v>33</v>
      </c>
      <c r="P30" s="105">
        <f t="shared" si="18"/>
        <v>16</v>
      </c>
      <c r="Q30" s="105">
        <f t="shared" si="18"/>
        <v>255</v>
      </c>
      <c r="R30" s="105">
        <f t="shared" si="18"/>
        <v>243</v>
      </c>
      <c r="S30" s="105">
        <f t="shared" si="18"/>
        <v>210</v>
      </c>
      <c r="U30" s="104">
        <f t="shared" si="6"/>
        <v>112</v>
      </c>
      <c r="V30" s="105">
        <f t="shared" si="6"/>
        <v>208</v>
      </c>
      <c r="W30" s="105">
        <f t="shared" si="6"/>
        <v>44</v>
      </c>
      <c r="X30" s="105">
        <f t="shared" si="6"/>
        <v>30</v>
      </c>
      <c r="Y30" s="105">
        <f t="shared" si="6"/>
        <v>143</v>
      </c>
      <c r="Z30" s="105">
        <f t="shared" si="6"/>
        <v>202</v>
      </c>
      <c r="AA30" s="105">
        <f t="shared" si="6"/>
        <v>63</v>
      </c>
      <c r="AB30" s="105">
        <f t="shared" si="6"/>
        <v>15</v>
      </c>
      <c r="AC30" s="105">
        <f t="shared" si="6"/>
        <v>2</v>
      </c>
      <c r="AD30" s="105">
        <f t="shared" si="6"/>
        <v>193</v>
      </c>
      <c r="AE30" s="105">
        <f t="shared" si="6"/>
        <v>175</v>
      </c>
      <c r="AF30" s="105">
        <f t="shared" si="6"/>
        <v>189</v>
      </c>
      <c r="AG30" s="105">
        <f t="shared" si="6"/>
        <v>3</v>
      </c>
      <c r="AH30" s="105">
        <f t="shared" si="6"/>
        <v>1</v>
      </c>
      <c r="AI30" s="105">
        <f t="shared" si="6"/>
        <v>19</v>
      </c>
      <c r="AJ30" s="105">
        <f t="shared" si="6"/>
        <v>138</v>
      </c>
      <c r="AK30" s="105">
        <f t="shared" ref="AK30" si="19">HEX2DEC(AK11)</f>
        <v>107</v>
      </c>
    </row>
    <row r="31" spans="1:37" x14ac:dyDescent="0.25">
      <c r="C31" s="104">
        <f t="shared" si="4"/>
        <v>128</v>
      </c>
      <c r="D31" s="105">
        <f t="shared" ref="D31:S31" si="20">HEX2DEC(D12)</f>
        <v>205</v>
      </c>
      <c r="E31" s="105">
        <f t="shared" si="20"/>
        <v>12</v>
      </c>
      <c r="F31" s="105">
        <f t="shared" si="20"/>
        <v>19</v>
      </c>
      <c r="G31" s="105">
        <f t="shared" si="20"/>
        <v>236</v>
      </c>
      <c r="H31" s="105">
        <f t="shared" si="20"/>
        <v>95</v>
      </c>
      <c r="I31" s="105">
        <f t="shared" si="20"/>
        <v>151</v>
      </c>
      <c r="J31" s="105">
        <f t="shared" si="20"/>
        <v>68</v>
      </c>
      <c r="K31" s="105">
        <f t="shared" si="20"/>
        <v>23</v>
      </c>
      <c r="L31" s="105">
        <f t="shared" si="20"/>
        <v>196</v>
      </c>
      <c r="M31" s="105">
        <f t="shared" si="20"/>
        <v>167</v>
      </c>
      <c r="N31" s="105">
        <f t="shared" si="20"/>
        <v>126</v>
      </c>
      <c r="O31" s="105">
        <f t="shared" si="20"/>
        <v>61</v>
      </c>
      <c r="P31" s="105">
        <f t="shared" si="20"/>
        <v>100</v>
      </c>
      <c r="Q31" s="105">
        <f t="shared" si="20"/>
        <v>93</v>
      </c>
      <c r="R31" s="105">
        <f t="shared" si="20"/>
        <v>25</v>
      </c>
      <c r="S31" s="105">
        <f t="shared" si="20"/>
        <v>115</v>
      </c>
      <c r="U31" s="104">
        <f t="shared" si="6"/>
        <v>128</v>
      </c>
      <c r="V31" s="105">
        <f t="shared" si="6"/>
        <v>58</v>
      </c>
      <c r="W31" s="105">
        <f t="shared" si="6"/>
        <v>145</v>
      </c>
      <c r="X31" s="105">
        <f t="shared" si="6"/>
        <v>17</v>
      </c>
      <c r="Y31" s="105">
        <f t="shared" si="6"/>
        <v>65</v>
      </c>
      <c r="Z31" s="105">
        <f t="shared" si="6"/>
        <v>79</v>
      </c>
      <c r="AA31" s="105">
        <f t="shared" si="6"/>
        <v>103</v>
      </c>
      <c r="AB31" s="105">
        <f t="shared" si="6"/>
        <v>220</v>
      </c>
      <c r="AC31" s="105">
        <f t="shared" si="6"/>
        <v>234</v>
      </c>
      <c r="AD31" s="105">
        <f t="shared" si="6"/>
        <v>151</v>
      </c>
      <c r="AE31" s="105">
        <f t="shared" si="6"/>
        <v>242</v>
      </c>
      <c r="AF31" s="105">
        <f t="shared" si="6"/>
        <v>207</v>
      </c>
      <c r="AG31" s="105">
        <f t="shared" si="6"/>
        <v>206</v>
      </c>
      <c r="AH31" s="105">
        <f t="shared" si="6"/>
        <v>240</v>
      </c>
      <c r="AI31" s="105">
        <f t="shared" si="6"/>
        <v>180</v>
      </c>
      <c r="AJ31" s="105">
        <f t="shared" si="6"/>
        <v>230</v>
      </c>
      <c r="AK31" s="105">
        <f t="shared" ref="AK31" si="21">HEX2DEC(AK12)</f>
        <v>115</v>
      </c>
    </row>
    <row r="32" spans="1:37" x14ac:dyDescent="0.25">
      <c r="C32" s="104">
        <f t="shared" si="4"/>
        <v>144</v>
      </c>
      <c r="D32" s="105">
        <f t="shared" ref="D32:S32" si="22">HEX2DEC(D13)</f>
        <v>96</v>
      </c>
      <c r="E32" s="105">
        <f t="shared" si="22"/>
        <v>129</v>
      </c>
      <c r="F32" s="105">
        <f t="shared" si="22"/>
        <v>79</v>
      </c>
      <c r="G32" s="105">
        <f t="shared" si="22"/>
        <v>220</v>
      </c>
      <c r="H32" s="105">
        <f t="shared" si="22"/>
        <v>34</v>
      </c>
      <c r="I32" s="105">
        <f t="shared" si="22"/>
        <v>42</v>
      </c>
      <c r="J32" s="105">
        <f t="shared" si="22"/>
        <v>144</v>
      </c>
      <c r="K32" s="105">
        <f t="shared" si="22"/>
        <v>136</v>
      </c>
      <c r="L32" s="105">
        <f t="shared" si="22"/>
        <v>70</v>
      </c>
      <c r="M32" s="105">
        <f t="shared" si="22"/>
        <v>238</v>
      </c>
      <c r="N32" s="105">
        <f t="shared" si="22"/>
        <v>184</v>
      </c>
      <c r="O32" s="105">
        <f t="shared" si="22"/>
        <v>20</v>
      </c>
      <c r="P32" s="105">
        <f t="shared" si="22"/>
        <v>222</v>
      </c>
      <c r="Q32" s="105">
        <f t="shared" si="22"/>
        <v>94</v>
      </c>
      <c r="R32" s="105">
        <f t="shared" si="22"/>
        <v>11</v>
      </c>
      <c r="S32" s="105">
        <f t="shared" si="22"/>
        <v>219</v>
      </c>
      <c r="U32" s="104">
        <f t="shared" si="6"/>
        <v>144</v>
      </c>
      <c r="V32" s="105">
        <f t="shared" si="6"/>
        <v>150</v>
      </c>
      <c r="W32" s="105">
        <f t="shared" si="6"/>
        <v>172</v>
      </c>
      <c r="X32" s="105">
        <f t="shared" si="6"/>
        <v>116</v>
      </c>
      <c r="Y32" s="105">
        <f t="shared" si="6"/>
        <v>34</v>
      </c>
      <c r="Z32" s="105">
        <f t="shared" si="6"/>
        <v>231</v>
      </c>
      <c r="AA32" s="105">
        <f t="shared" si="6"/>
        <v>173</v>
      </c>
      <c r="AB32" s="105">
        <f t="shared" si="6"/>
        <v>53</v>
      </c>
      <c r="AC32" s="105">
        <f t="shared" si="6"/>
        <v>133</v>
      </c>
      <c r="AD32" s="105">
        <f t="shared" si="6"/>
        <v>226</v>
      </c>
      <c r="AE32" s="105">
        <f t="shared" si="6"/>
        <v>249</v>
      </c>
      <c r="AF32" s="105">
        <f t="shared" si="6"/>
        <v>55</v>
      </c>
      <c r="AG32" s="105">
        <f t="shared" si="6"/>
        <v>232</v>
      </c>
      <c r="AH32" s="105">
        <f t="shared" si="6"/>
        <v>28</v>
      </c>
      <c r="AI32" s="105">
        <f t="shared" si="6"/>
        <v>117</v>
      </c>
      <c r="AJ32" s="105">
        <f t="shared" si="6"/>
        <v>223</v>
      </c>
      <c r="AK32" s="105">
        <f t="shared" ref="AK32" si="23">HEX2DEC(AK13)</f>
        <v>110</v>
      </c>
    </row>
    <row r="33" spans="3:37" x14ac:dyDescent="0.25">
      <c r="C33" s="104">
        <f t="shared" si="4"/>
        <v>160</v>
      </c>
      <c r="D33" s="105">
        <f t="shared" ref="D33:S33" si="24">HEX2DEC(D14)</f>
        <v>224</v>
      </c>
      <c r="E33" s="105">
        <f t="shared" si="24"/>
        <v>50</v>
      </c>
      <c r="F33" s="105">
        <f t="shared" si="24"/>
        <v>58</v>
      </c>
      <c r="G33" s="105">
        <f t="shared" si="24"/>
        <v>10</v>
      </c>
      <c r="H33" s="105">
        <f t="shared" si="24"/>
        <v>73</v>
      </c>
      <c r="I33" s="105">
        <f t="shared" si="24"/>
        <v>6</v>
      </c>
      <c r="J33" s="105">
        <f t="shared" si="24"/>
        <v>36</v>
      </c>
      <c r="K33" s="105">
        <f t="shared" si="24"/>
        <v>92</v>
      </c>
      <c r="L33" s="105">
        <f t="shared" si="24"/>
        <v>194</v>
      </c>
      <c r="M33" s="105">
        <f t="shared" si="24"/>
        <v>211</v>
      </c>
      <c r="N33" s="105">
        <f t="shared" si="24"/>
        <v>172</v>
      </c>
      <c r="O33" s="105">
        <f t="shared" si="24"/>
        <v>98</v>
      </c>
      <c r="P33" s="105">
        <f t="shared" si="24"/>
        <v>145</v>
      </c>
      <c r="Q33" s="105">
        <f t="shared" si="24"/>
        <v>149</v>
      </c>
      <c r="R33" s="105">
        <f t="shared" si="24"/>
        <v>228</v>
      </c>
      <c r="S33" s="105">
        <f t="shared" si="24"/>
        <v>121</v>
      </c>
      <c r="U33" s="104">
        <f t="shared" si="6"/>
        <v>160</v>
      </c>
      <c r="V33" s="105">
        <f t="shared" si="6"/>
        <v>71</v>
      </c>
      <c r="W33" s="105">
        <f t="shared" si="6"/>
        <v>241</v>
      </c>
      <c r="X33" s="105">
        <f t="shared" si="6"/>
        <v>26</v>
      </c>
      <c r="Y33" s="105">
        <f t="shared" si="6"/>
        <v>113</v>
      </c>
      <c r="Z33" s="105">
        <f t="shared" si="6"/>
        <v>29</v>
      </c>
      <c r="AA33" s="105">
        <f t="shared" si="6"/>
        <v>41</v>
      </c>
      <c r="AB33" s="105">
        <f t="shared" si="6"/>
        <v>197</v>
      </c>
      <c r="AC33" s="105">
        <f t="shared" si="6"/>
        <v>137</v>
      </c>
      <c r="AD33" s="105">
        <f t="shared" si="6"/>
        <v>111</v>
      </c>
      <c r="AE33" s="105">
        <f t="shared" si="6"/>
        <v>183</v>
      </c>
      <c r="AF33" s="105">
        <f t="shared" si="6"/>
        <v>98</v>
      </c>
      <c r="AG33" s="105">
        <f t="shared" si="6"/>
        <v>14</v>
      </c>
      <c r="AH33" s="105">
        <f t="shared" si="6"/>
        <v>170</v>
      </c>
      <c r="AI33" s="105">
        <f t="shared" si="6"/>
        <v>24</v>
      </c>
      <c r="AJ33" s="105">
        <f t="shared" si="6"/>
        <v>190</v>
      </c>
      <c r="AK33" s="105">
        <f t="shared" ref="AK33" si="25">HEX2DEC(AK14)</f>
        <v>27</v>
      </c>
    </row>
    <row r="34" spans="3:37" x14ac:dyDescent="0.25">
      <c r="C34" s="104">
        <f t="shared" si="4"/>
        <v>176</v>
      </c>
      <c r="D34" s="105">
        <f t="shared" ref="D34:S34" si="26">HEX2DEC(D15)</f>
        <v>231</v>
      </c>
      <c r="E34" s="105">
        <f t="shared" si="26"/>
        <v>200</v>
      </c>
      <c r="F34" s="105">
        <f t="shared" si="26"/>
        <v>55</v>
      </c>
      <c r="G34" s="105">
        <f t="shared" si="26"/>
        <v>109</v>
      </c>
      <c r="H34" s="105">
        <f t="shared" si="26"/>
        <v>141</v>
      </c>
      <c r="I34" s="105">
        <f t="shared" si="26"/>
        <v>213</v>
      </c>
      <c r="J34" s="105">
        <f t="shared" si="26"/>
        <v>78</v>
      </c>
      <c r="K34" s="105">
        <f t="shared" si="26"/>
        <v>169</v>
      </c>
      <c r="L34" s="105">
        <f t="shared" si="26"/>
        <v>108</v>
      </c>
      <c r="M34" s="105">
        <f t="shared" si="26"/>
        <v>86</v>
      </c>
      <c r="N34" s="105">
        <f t="shared" si="26"/>
        <v>244</v>
      </c>
      <c r="O34" s="105">
        <f t="shared" si="26"/>
        <v>234</v>
      </c>
      <c r="P34" s="105">
        <f t="shared" si="26"/>
        <v>101</v>
      </c>
      <c r="Q34" s="105">
        <f t="shared" si="26"/>
        <v>122</v>
      </c>
      <c r="R34" s="105">
        <f t="shared" si="26"/>
        <v>174</v>
      </c>
      <c r="S34" s="105">
        <f t="shared" si="26"/>
        <v>8</v>
      </c>
      <c r="U34" s="104">
        <f t="shared" si="6"/>
        <v>176</v>
      </c>
      <c r="V34" s="105">
        <f t="shared" si="6"/>
        <v>252</v>
      </c>
      <c r="W34" s="105">
        <f t="shared" si="6"/>
        <v>86</v>
      </c>
      <c r="X34" s="105">
        <f t="shared" si="6"/>
        <v>62</v>
      </c>
      <c r="Y34" s="105">
        <f t="shared" si="6"/>
        <v>75</v>
      </c>
      <c r="Z34" s="105">
        <f t="shared" si="6"/>
        <v>198</v>
      </c>
      <c r="AA34" s="105">
        <f t="shared" si="6"/>
        <v>210</v>
      </c>
      <c r="AB34" s="105">
        <f t="shared" si="6"/>
        <v>121</v>
      </c>
      <c r="AC34" s="105">
        <f t="shared" si="6"/>
        <v>32</v>
      </c>
      <c r="AD34" s="105">
        <f t="shared" si="6"/>
        <v>154</v>
      </c>
      <c r="AE34" s="105">
        <f t="shared" si="6"/>
        <v>219</v>
      </c>
      <c r="AF34" s="105">
        <f t="shared" si="6"/>
        <v>192</v>
      </c>
      <c r="AG34" s="105">
        <f t="shared" si="6"/>
        <v>254</v>
      </c>
      <c r="AH34" s="105">
        <f t="shared" si="6"/>
        <v>120</v>
      </c>
      <c r="AI34" s="105">
        <f t="shared" si="6"/>
        <v>205</v>
      </c>
      <c r="AJ34" s="105">
        <f t="shared" si="6"/>
        <v>90</v>
      </c>
      <c r="AK34" s="105">
        <f t="shared" ref="AK34" si="27">HEX2DEC(AK15)</f>
        <v>244</v>
      </c>
    </row>
    <row r="35" spans="3:37" x14ac:dyDescent="0.25">
      <c r="C35" s="104">
        <f t="shared" si="4"/>
        <v>192</v>
      </c>
      <c r="D35" s="105">
        <f t="shared" ref="D35:S35" si="28">HEX2DEC(D16)</f>
        <v>186</v>
      </c>
      <c r="E35" s="105">
        <f t="shared" si="28"/>
        <v>120</v>
      </c>
      <c r="F35" s="105">
        <f t="shared" si="28"/>
        <v>37</v>
      </c>
      <c r="G35" s="105">
        <f t="shared" si="28"/>
        <v>46</v>
      </c>
      <c r="H35" s="105">
        <f t="shared" si="28"/>
        <v>28</v>
      </c>
      <c r="I35" s="105">
        <f t="shared" si="28"/>
        <v>166</v>
      </c>
      <c r="J35" s="105">
        <f t="shared" si="28"/>
        <v>180</v>
      </c>
      <c r="K35" s="105">
        <f t="shared" si="28"/>
        <v>198</v>
      </c>
      <c r="L35" s="105">
        <f t="shared" si="28"/>
        <v>232</v>
      </c>
      <c r="M35" s="105">
        <f t="shared" si="28"/>
        <v>221</v>
      </c>
      <c r="N35" s="105">
        <f t="shared" si="28"/>
        <v>116</v>
      </c>
      <c r="O35" s="105">
        <f t="shared" si="28"/>
        <v>31</v>
      </c>
      <c r="P35" s="105">
        <f t="shared" si="28"/>
        <v>75</v>
      </c>
      <c r="Q35" s="105">
        <f t="shared" si="28"/>
        <v>189</v>
      </c>
      <c r="R35" s="105">
        <f t="shared" si="28"/>
        <v>139</v>
      </c>
      <c r="S35" s="105">
        <f t="shared" si="28"/>
        <v>138</v>
      </c>
      <c r="U35" s="104">
        <f t="shared" si="6"/>
        <v>192</v>
      </c>
      <c r="V35" s="105">
        <f t="shared" si="6"/>
        <v>31</v>
      </c>
      <c r="W35" s="105">
        <f t="shared" si="6"/>
        <v>221</v>
      </c>
      <c r="X35" s="105">
        <f t="shared" si="6"/>
        <v>168</v>
      </c>
      <c r="Y35" s="105">
        <f t="shared" si="6"/>
        <v>51</v>
      </c>
      <c r="Z35" s="105">
        <f t="shared" si="6"/>
        <v>136</v>
      </c>
      <c r="AA35" s="105">
        <f t="shared" si="6"/>
        <v>7</v>
      </c>
      <c r="AB35" s="105">
        <f t="shared" si="6"/>
        <v>199</v>
      </c>
      <c r="AC35" s="105">
        <f t="shared" si="6"/>
        <v>49</v>
      </c>
      <c r="AD35" s="105">
        <f t="shared" si="6"/>
        <v>177</v>
      </c>
      <c r="AE35" s="105">
        <f t="shared" si="6"/>
        <v>18</v>
      </c>
      <c r="AF35" s="105">
        <f t="shared" si="6"/>
        <v>16</v>
      </c>
      <c r="AG35" s="105">
        <f t="shared" si="6"/>
        <v>89</v>
      </c>
      <c r="AH35" s="105">
        <f t="shared" si="6"/>
        <v>39</v>
      </c>
      <c r="AI35" s="105">
        <f t="shared" si="6"/>
        <v>128</v>
      </c>
      <c r="AJ35" s="105">
        <f t="shared" si="6"/>
        <v>236</v>
      </c>
      <c r="AK35" s="105">
        <f t="shared" ref="AK35" si="29">HEX2DEC(AK16)</f>
        <v>95</v>
      </c>
    </row>
    <row r="36" spans="3:37" x14ac:dyDescent="0.25">
      <c r="C36" s="104">
        <f t="shared" si="4"/>
        <v>208</v>
      </c>
      <c r="D36" s="105">
        <f>HEX2DEC(D17)</f>
        <v>112</v>
      </c>
      <c r="E36" s="105">
        <f t="shared" ref="E36:S36" si="30">HEX2DEC(E17)</f>
        <v>62</v>
      </c>
      <c r="F36" s="105">
        <f t="shared" si="30"/>
        <v>181</v>
      </c>
      <c r="G36" s="105">
        <f t="shared" si="30"/>
        <v>102</v>
      </c>
      <c r="H36" s="105">
        <f t="shared" si="30"/>
        <v>72</v>
      </c>
      <c r="I36" s="105">
        <f t="shared" si="30"/>
        <v>3</v>
      </c>
      <c r="J36" s="105">
        <f t="shared" si="30"/>
        <v>246</v>
      </c>
      <c r="K36" s="105">
        <f t="shared" si="30"/>
        <v>14</v>
      </c>
      <c r="L36" s="105">
        <f t="shared" si="30"/>
        <v>97</v>
      </c>
      <c r="M36" s="105">
        <f t="shared" si="30"/>
        <v>53</v>
      </c>
      <c r="N36" s="105">
        <f t="shared" si="30"/>
        <v>87</v>
      </c>
      <c r="O36" s="105">
        <f t="shared" si="30"/>
        <v>185</v>
      </c>
      <c r="P36" s="105">
        <f t="shared" si="30"/>
        <v>134</v>
      </c>
      <c r="Q36" s="105">
        <f t="shared" si="30"/>
        <v>193</v>
      </c>
      <c r="R36" s="105">
        <f t="shared" si="30"/>
        <v>29</v>
      </c>
      <c r="S36" s="105">
        <f t="shared" si="30"/>
        <v>158</v>
      </c>
      <c r="U36" s="104">
        <f t="shared" si="6"/>
        <v>208</v>
      </c>
      <c r="V36" s="105">
        <f>HEX2DEC(V17)</f>
        <v>96</v>
      </c>
      <c r="W36" s="105">
        <f t="shared" ref="W36:AK36" si="31">HEX2DEC(W17)</f>
        <v>81</v>
      </c>
      <c r="X36" s="105">
        <f t="shared" si="31"/>
        <v>127</v>
      </c>
      <c r="Y36" s="105">
        <f t="shared" si="31"/>
        <v>169</v>
      </c>
      <c r="Z36" s="105">
        <f t="shared" si="31"/>
        <v>25</v>
      </c>
      <c r="AA36" s="105">
        <f t="shared" si="31"/>
        <v>181</v>
      </c>
      <c r="AB36" s="105">
        <f t="shared" si="31"/>
        <v>74</v>
      </c>
      <c r="AC36" s="105">
        <f t="shared" si="31"/>
        <v>13</v>
      </c>
      <c r="AD36" s="105">
        <f t="shared" si="31"/>
        <v>45</v>
      </c>
      <c r="AE36" s="105">
        <f t="shared" si="31"/>
        <v>229</v>
      </c>
      <c r="AF36" s="105">
        <f t="shared" si="31"/>
        <v>122</v>
      </c>
      <c r="AG36" s="105">
        <f t="shared" si="31"/>
        <v>159</v>
      </c>
      <c r="AH36" s="105">
        <f t="shared" si="31"/>
        <v>147</v>
      </c>
      <c r="AI36" s="105">
        <f t="shared" si="31"/>
        <v>201</v>
      </c>
      <c r="AJ36" s="105">
        <f t="shared" si="31"/>
        <v>156</v>
      </c>
      <c r="AK36" s="105">
        <f t="shared" si="31"/>
        <v>239</v>
      </c>
    </row>
    <row r="37" spans="3:37" x14ac:dyDescent="0.25">
      <c r="C37" s="104">
        <f t="shared" si="4"/>
        <v>224</v>
      </c>
      <c r="D37" s="105">
        <f t="shared" ref="D37:S37" si="32">HEX2DEC(D18)</f>
        <v>225</v>
      </c>
      <c r="E37" s="105">
        <f t="shared" si="32"/>
        <v>248</v>
      </c>
      <c r="F37" s="105">
        <f t="shared" si="32"/>
        <v>152</v>
      </c>
      <c r="G37" s="105">
        <f t="shared" si="32"/>
        <v>17</v>
      </c>
      <c r="H37" s="105">
        <f t="shared" si="32"/>
        <v>105</v>
      </c>
      <c r="I37" s="105">
        <f t="shared" si="32"/>
        <v>217</v>
      </c>
      <c r="J37" s="105">
        <f t="shared" si="32"/>
        <v>142</v>
      </c>
      <c r="K37" s="105">
        <f t="shared" si="32"/>
        <v>148</v>
      </c>
      <c r="L37" s="105">
        <f t="shared" si="32"/>
        <v>155</v>
      </c>
      <c r="M37" s="105">
        <f t="shared" si="32"/>
        <v>30</v>
      </c>
      <c r="N37" s="105">
        <f t="shared" si="32"/>
        <v>135</v>
      </c>
      <c r="O37" s="105">
        <f t="shared" si="32"/>
        <v>233</v>
      </c>
      <c r="P37" s="105">
        <f t="shared" si="32"/>
        <v>206</v>
      </c>
      <c r="Q37" s="105">
        <f t="shared" si="32"/>
        <v>85</v>
      </c>
      <c r="R37" s="105">
        <f t="shared" si="32"/>
        <v>40</v>
      </c>
      <c r="S37" s="105">
        <f t="shared" si="32"/>
        <v>223</v>
      </c>
      <c r="U37" s="104">
        <f t="shared" si="6"/>
        <v>224</v>
      </c>
      <c r="V37" s="105">
        <f t="shared" si="6"/>
        <v>160</v>
      </c>
      <c r="W37" s="105">
        <f t="shared" si="6"/>
        <v>224</v>
      </c>
      <c r="X37" s="105">
        <f t="shared" si="6"/>
        <v>59</v>
      </c>
      <c r="Y37" s="105">
        <f t="shared" si="6"/>
        <v>77</v>
      </c>
      <c r="Z37" s="105">
        <f t="shared" si="6"/>
        <v>174</v>
      </c>
      <c r="AA37" s="105">
        <f t="shared" si="6"/>
        <v>42</v>
      </c>
      <c r="AB37" s="105">
        <f t="shared" si="6"/>
        <v>245</v>
      </c>
      <c r="AC37" s="105">
        <f t="shared" si="6"/>
        <v>176</v>
      </c>
      <c r="AD37" s="105">
        <f t="shared" si="6"/>
        <v>200</v>
      </c>
      <c r="AE37" s="105">
        <f t="shared" si="6"/>
        <v>235</v>
      </c>
      <c r="AF37" s="105">
        <f t="shared" si="6"/>
        <v>187</v>
      </c>
      <c r="AG37" s="105">
        <f t="shared" si="6"/>
        <v>60</v>
      </c>
      <c r="AH37" s="105">
        <f t="shared" si="6"/>
        <v>131</v>
      </c>
      <c r="AI37" s="105">
        <f t="shared" si="6"/>
        <v>83</v>
      </c>
      <c r="AJ37" s="105">
        <f t="shared" si="6"/>
        <v>153</v>
      </c>
      <c r="AK37" s="105">
        <f t="shared" ref="AK37" si="33">HEX2DEC(AK18)</f>
        <v>97</v>
      </c>
    </row>
    <row r="38" spans="3:37" x14ac:dyDescent="0.25">
      <c r="C38" s="104">
        <f t="shared" si="4"/>
        <v>240</v>
      </c>
      <c r="D38" s="105">
        <f t="shared" ref="D38:S38" si="34">HEX2DEC(D19)</f>
        <v>140</v>
      </c>
      <c r="E38" s="105">
        <f t="shared" si="34"/>
        <v>161</v>
      </c>
      <c r="F38" s="105">
        <f t="shared" si="34"/>
        <v>137</v>
      </c>
      <c r="G38" s="105">
        <f t="shared" si="34"/>
        <v>13</v>
      </c>
      <c r="H38" s="105">
        <f t="shared" si="34"/>
        <v>191</v>
      </c>
      <c r="I38" s="105">
        <f t="shared" si="34"/>
        <v>230</v>
      </c>
      <c r="J38" s="105">
        <f t="shared" si="34"/>
        <v>66</v>
      </c>
      <c r="K38" s="105">
        <f t="shared" si="34"/>
        <v>104</v>
      </c>
      <c r="L38" s="105">
        <f t="shared" si="34"/>
        <v>65</v>
      </c>
      <c r="M38" s="105">
        <f t="shared" si="34"/>
        <v>153</v>
      </c>
      <c r="N38" s="105">
        <f t="shared" si="34"/>
        <v>45</v>
      </c>
      <c r="O38" s="105">
        <f t="shared" si="34"/>
        <v>15</v>
      </c>
      <c r="P38" s="105">
        <f t="shared" si="34"/>
        <v>176</v>
      </c>
      <c r="Q38" s="105">
        <f t="shared" si="34"/>
        <v>84</v>
      </c>
      <c r="R38" s="105">
        <f t="shared" si="34"/>
        <v>187</v>
      </c>
      <c r="S38" s="105">
        <f t="shared" si="34"/>
        <v>22</v>
      </c>
      <c r="U38" s="104">
        <f t="shared" si="6"/>
        <v>240</v>
      </c>
      <c r="V38" s="105">
        <f t="shared" si="6"/>
        <v>23</v>
      </c>
      <c r="W38" s="105">
        <f t="shared" si="6"/>
        <v>43</v>
      </c>
      <c r="X38" s="105">
        <f t="shared" si="6"/>
        <v>4</v>
      </c>
      <c r="Y38" s="105">
        <f t="shared" si="6"/>
        <v>126</v>
      </c>
      <c r="Z38" s="105">
        <f t="shared" si="6"/>
        <v>186</v>
      </c>
      <c r="AA38" s="105">
        <f t="shared" si="6"/>
        <v>119</v>
      </c>
      <c r="AB38" s="105">
        <f t="shared" si="6"/>
        <v>214</v>
      </c>
      <c r="AC38" s="105">
        <f t="shared" si="6"/>
        <v>38</v>
      </c>
      <c r="AD38" s="105">
        <f t="shared" si="6"/>
        <v>225</v>
      </c>
      <c r="AE38" s="105">
        <f t="shared" si="6"/>
        <v>105</v>
      </c>
      <c r="AF38" s="105">
        <f t="shared" si="6"/>
        <v>20</v>
      </c>
      <c r="AG38" s="105">
        <f t="shared" si="6"/>
        <v>99</v>
      </c>
      <c r="AH38" s="105">
        <f t="shared" si="6"/>
        <v>85</v>
      </c>
      <c r="AI38" s="105">
        <f t="shared" si="6"/>
        <v>33</v>
      </c>
      <c r="AJ38" s="105">
        <f t="shared" si="6"/>
        <v>12</v>
      </c>
      <c r="AK38" s="105">
        <f t="shared" ref="AK38" si="35">HEX2DEC(AK19)</f>
        <v>125</v>
      </c>
    </row>
    <row r="39" spans="3:37" x14ac:dyDescent="0.25">
      <c r="D39" s="38"/>
      <c r="E39" s="38"/>
      <c r="F39" s="38"/>
      <c r="G39" s="38"/>
      <c r="H39" s="38"/>
      <c r="I39" s="38"/>
      <c r="J39" s="38"/>
      <c r="K39" s="38"/>
      <c r="L39" s="38"/>
      <c r="M39" s="38"/>
      <c r="N39" s="38"/>
      <c r="O39" s="38"/>
      <c r="P39" s="38"/>
      <c r="Q39" s="38"/>
      <c r="R39" s="38"/>
      <c r="S39" s="38"/>
    </row>
    <row r="40" spans="3:37" ht="21" x14ac:dyDescent="0.35">
      <c r="C40" s="384" t="s">
        <v>496</v>
      </c>
      <c r="D40" s="384"/>
      <c r="E40" s="384"/>
      <c r="F40" s="384"/>
      <c r="G40" s="384"/>
      <c r="H40" s="384"/>
      <c r="I40" s="384"/>
      <c r="J40" s="384"/>
      <c r="K40" s="384"/>
      <c r="L40" s="384"/>
      <c r="M40" s="384"/>
      <c r="N40" s="384"/>
      <c r="O40" s="384"/>
      <c r="P40" s="384"/>
      <c r="Q40" s="38"/>
      <c r="R40" s="38"/>
      <c r="S40" s="38"/>
      <c r="U40" s="384" t="s">
        <v>497</v>
      </c>
      <c r="V40" s="384"/>
      <c r="W40" s="384"/>
      <c r="X40" s="384"/>
      <c r="Y40" s="384"/>
      <c r="Z40" s="384"/>
      <c r="AA40" s="384"/>
      <c r="AB40" s="384"/>
      <c r="AC40" s="384"/>
      <c r="AD40" s="384"/>
      <c r="AE40" s="384"/>
      <c r="AF40" s="384"/>
      <c r="AG40" s="384"/>
      <c r="AH40" s="384"/>
    </row>
    <row r="41" spans="3:37" ht="15.75" thickBot="1" x14ac:dyDescent="0.3">
      <c r="R41" s="38"/>
      <c r="S41" s="38"/>
    </row>
    <row r="42" spans="3:37" x14ac:dyDescent="0.25">
      <c r="C42" s="9" t="s">
        <v>478</v>
      </c>
      <c r="D42" s="5"/>
      <c r="E42" s="8">
        <v>1</v>
      </c>
      <c r="F42" s="265">
        <v>0</v>
      </c>
      <c r="G42" s="265">
        <v>0</v>
      </c>
      <c r="H42" s="265">
        <v>0</v>
      </c>
      <c r="I42" s="265">
        <v>1</v>
      </c>
      <c r="J42" s="265">
        <v>1</v>
      </c>
      <c r="K42" s="265">
        <v>1</v>
      </c>
      <c r="L42" s="11">
        <v>1</v>
      </c>
      <c r="M42" s="7"/>
      <c r="N42" s="12" t="s">
        <v>470</v>
      </c>
      <c r="O42" s="7"/>
      <c r="P42" s="12">
        <v>1</v>
      </c>
      <c r="U42" s="12" t="s">
        <v>470</v>
      </c>
      <c r="V42" s="5"/>
      <c r="W42" s="8">
        <v>0</v>
      </c>
      <c r="X42" s="329">
        <v>0</v>
      </c>
      <c r="Y42" s="329">
        <v>1</v>
      </c>
      <c r="Z42" s="329">
        <v>0</v>
      </c>
      <c r="AA42" s="329">
        <v>0</v>
      </c>
      <c r="AB42" s="329">
        <v>1</v>
      </c>
      <c r="AC42" s="329">
        <v>0</v>
      </c>
      <c r="AD42" s="11">
        <v>1</v>
      </c>
      <c r="AE42" s="7"/>
      <c r="AF42" s="9" t="s">
        <v>478</v>
      </c>
      <c r="AG42" s="7"/>
      <c r="AH42" s="12">
        <v>1</v>
      </c>
    </row>
    <row r="43" spans="3:37" x14ac:dyDescent="0.25">
      <c r="C43" s="9" t="s">
        <v>479</v>
      </c>
      <c r="D43" s="7"/>
      <c r="E43" s="9">
        <v>1</v>
      </c>
      <c r="F43" s="265">
        <v>1</v>
      </c>
      <c r="G43" s="265">
        <v>0</v>
      </c>
      <c r="H43" s="265">
        <v>0</v>
      </c>
      <c r="I43" s="265">
        <v>0</v>
      </c>
      <c r="J43" s="265">
        <v>1</v>
      </c>
      <c r="K43" s="265">
        <v>1</v>
      </c>
      <c r="L43" s="88">
        <v>1</v>
      </c>
      <c r="M43" s="7"/>
      <c r="N43" s="12" t="s">
        <v>471</v>
      </c>
      <c r="O43" s="7"/>
      <c r="P43" s="12">
        <v>1</v>
      </c>
      <c r="U43" s="12" t="s">
        <v>471</v>
      </c>
      <c r="V43" s="7"/>
      <c r="W43" s="9">
        <v>1</v>
      </c>
      <c r="X43" s="329">
        <v>0</v>
      </c>
      <c r="Y43" s="329">
        <v>0</v>
      </c>
      <c r="Z43" s="329">
        <v>1</v>
      </c>
      <c r="AA43" s="329">
        <v>0</v>
      </c>
      <c r="AB43" s="329">
        <v>0</v>
      </c>
      <c r="AC43" s="329">
        <v>1</v>
      </c>
      <c r="AD43" s="88">
        <v>0</v>
      </c>
      <c r="AE43" s="7"/>
      <c r="AF43" s="9" t="s">
        <v>479</v>
      </c>
      <c r="AG43" s="7"/>
      <c r="AH43" s="12">
        <v>0</v>
      </c>
    </row>
    <row r="44" spans="3:37" x14ac:dyDescent="0.25">
      <c r="C44" s="9" t="s">
        <v>480</v>
      </c>
      <c r="D44" s="7"/>
      <c r="E44" s="265">
        <v>1</v>
      </c>
      <c r="F44" s="265">
        <v>1</v>
      </c>
      <c r="G44" s="265">
        <v>1</v>
      </c>
      <c r="H44" s="265">
        <v>0</v>
      </c>
      <c r="I44" s="265">
        <v>0</v>
      </c>
      <c r="J44" s="265">
        <v>0</v>
      </c>
      <c r="K44" s="265">
        <v>1</v>
      </c>
      <c r="L44" s="88">
        <v>1</v>
      </c>
      <c r="M44" s="7"/>
      <c r="N44" s="12" t="s">
        <v>472</v>
      </c>
      <c r="O44" s="7"/>
      <c r="P44" s="12">
        <v>0</v>
      </c>
      <c r="U44" s="12" t="s">
        <v>472</v>
      </c>
      <c r="V44" s="7"/>
      <c r="W44" s="329">
        <v>0</v>
      </c>
      <c r="X44" s="329">
        <v>1</v>
      </c>
      <c r="Y44" s="329">
        <v>0</v>
      </c>
      <c r="Z44" s="329">
        <v>0</v>
      </c>
      <c r="AA44" s="329">
        <v>1</v>
      </c>
      <c r="AB44" s="329">
        <v>0</v>
      </c>
      <c r="AC44" s="329">
        <v>0</v>
      </c>
      <c r="AD44" s="88">
        <v>1</v>
      </c>
      <c r="AE44" s="7"/>
      <c r="AF44" s="9" t="s">
        <v>480</v>
      </c>
      <c r="AG44" s="7"/>
      <c r="AH44" s="12">
        <v>1</v>
      </c>
    </row>
    <row r="45" spans="3:37" ht="21" x14ac:dyDescent="0.35">
      <c r="C45" s="9" t="s">
        <v>481</v>
      </c>
      <c r="D45" s="17" t="s">
        <v>8</v>
      </c>
      <c r="E45" s="265">
        <v>1</v>
      </c>
      <c r="F45" s="265">
        <v>1</v>
      </c>
      <c r="G45" s="265">
        <v>1</v>
      </c>
      <c r="H45" s="265">
        <v>1</v>
      </c>
      <c r="I45" s="265">
        <v>0</v>
      </c>
      <c r="J45" s="265">
        <v>0</v>
      </c>
      <c r="K45" s="265">
        <v>0</v>
      </c>
      <c r="L45" s="13">
        <v>1</v>
      </c>
      <c r="M45" s="18" t="s">
        <v>25</v>
      </c>
      <c r="N45" s="12" t="s">
        <v>473</v>
      </c>
      <c r="O45" s="17" t="s">
        <v>350</v>
      </c>
      <c r="P45" s="12">
        <v>0</v>
      </c>
      <c r="U45" s="12" t="s">
        <v>473</v>
      </c>
      <c r="V45" s="17" t="s">
        <v>8</v>
      </c>
      <c r="W45" s="329">
        <v>1</v>
      </c>
      <c r="X45" s="329">
        <v>0</v>
      </c>
      <c r="Y45" s="329">
        <v>1</v>
      </c>
      <c r="Z45" s="329">
        <v>0</v>
      </c>
      <c r="AA45" s="329">
        <v>0</v>
      </c>
      <c r="AB45" s="329">
        <v>1</v>
      </c>
      <c r="AC45" s="329">
        <v>0</v>
      </c>
      <c r="AD45" s="13">
        <v>0</v>
      </c>
      <c r="AE45" s="18" t="s">
        <v>25</v>
      </c>
      <c r="AF45" s="9" t="s">
        <v>481</v>
      </c>
      <c r="AG45" s="17" t="s">
        <v>350</v>
      </c>
      <c r="AH45" s="12">
        <v>0</v>
      </c>
    </row>
    <row r="46" spans="3:37" x14ac:dyDescent="0.25">
      <c r="C46" s="9" t="s">
        <v>482</v>
      </c>
      <c r="D46" s="7"/>
      <c r="E46" s="265">
        <v>1</v>
      </c>
      <c r="F46" s="265">
        <v>1</v>
      </c>
      <c r="G46" s="265">
        <v>1</v>
      </c>
      <c r="H46" s="265">
        <v>1</v>
      </c>
      <c r="I46" s="265">
        <v>1</v>
      </c>
      <c r="J46" s="265">
        <v>0</v>
      </c>
      <c r="K46" s="265">
        <v>0</v>
      </c>
      <c r="L46" s="88">
        <v>0</v>
      </c>
      <c r="M46" s="7"/>
      <c r="N46" s="12" t="s">
        <v>474</v>
      </c>
      <c r="O46" s="7"/>
      <c r="P46" s="12">
        <v>0</v>
      </c>
      <c r="U46" s="12" t="s">
        <v>474</v>
      </c>
      <c r="V46" s="7"/>
      <c r="W46" s="329">
        <v>0</v>
      </c>
      <c r="X46" s="329">
        <v>1</v>
      </c>
      <c r="Y46" s="329">
        <v>0</v>
      </c>
      <c r="Z46" s="329">
        <v>1</v>
      </c>
      <c r="AA46" s="329">
        <v>0</v>
      </c>
      <c r="AB46" s="329">
        <v>0</v>
      </c>
      <c r="AC46" s="329">
        <v>1</v>
      </c>
      <c r="AD46" s="88">
        <v>0</v>
      </c>
      <c r="AE46" s="7"/>
      <c r="AF46" s="9" t="s">
        <v>482</v>
      </c>
      <c r="AG46" s="7"/>
      <c r="AH46" s="12">
        <v>0</v>
      </c>
    </row>
    <row r="47" spans="3:37" x14ac:dyDescent="0.25">
      <c r="C47" s="9" t="s">
        <v>483</v>
      </c>
      <c r="D47" s="7"/>
      <c r="E47" s="265">
        <v>0</v>
      </c>
      <c r="F47" s="265">
        <v>1</v>
      </c>
      <c r="G47" s="265">
        <v>1</v>
      </c>
      <c r="H47" s="265">
        <v>1</v>
      </c>
      <c r="I47" s="265">
        <v>1</v>
      </c>
      <c r="J47" s="265">
        <v>1</v>
      </c>
      <c r="K47" s="265">
        <v>0</v>
      </c>
      <c r="L47" s="88">
        <v>0</v>
      </c>
      <c r="M47" s="7"/>
      <c r="N47" s="12" t="s">
        <v>475</v>
      </c>
      <c r="O47" s="7"/>
      <c r="P47" s="12">
        <v>1</v>
      </c>
      <c r="U47" s="12" t="s">
        <v>475</v>
      </c>
      <c r="V47" s="7"/>
      <c r="W47" s="329">
        <v>0</v>
      </c>
      <c r="X47" s="329">
        <v>0</v>
      </c>
      <c r="Y47" s="329">
        <v>1</v>
      </c>
      <c r="Z47" s="329">
        <v>0</v>
      </c>
      <c r="AA47" s="329">
        <v>1</v>
      </c>
      <c r="AB47" s="329">
        <v>0</v>
      </c>
      <c r="AC47" s="329">
        <v>0</v>
      </c>
      <c r="AD47" s="88">
        <v>1</v>
      </c>
      <c r="AE47" s="7"/>
      <c r="AF47" s="9" t="s">
        <v>483</v>
      </c>
      <c r="AG47" s="7"/>
      <c r="AH47" s="12">
        <v>0</v>
      </c>
    </row>
    <row r="48" spans="3:37" x14ac:dyDescent="0.25">
      <c r="C48" s="9" t="s">
        <v>484</v>
      </c>
      <c r="D48" s="7"/>
      <c r="E48" s="265">
        <v>0</v>
      </c>
      <c r="F48" s="265">
        <v>0</v>
      </c>
      <c r="G48" s="265">
        <v>1</v>
      </c>
      <c r="H48" s="265">
        <v>1</v>
      </c>
      <c r="I48" s="265">
        <v>1</v>
      </c>
      <c r="J48" s="265">
        <v>1</v>
      </c>
      <c r="K48" s="265">
        <v>1</v>
      </c>
      <c r="L48" s="88">
        <v>0</v>
      </c>
      <c r="M48" s="7"/>
      <c r="N48" s="12" t="s">
        <v>476</v>
      </c>
      <c r="O48" s="7"/>
      <c r="P48" s="12">
        <v>1</v>
      </c>
      <c r="U48" s="12" t="s">
        <v>476</v>
      </c>
      <c r="V48" s="7"/>
      <c r="W48" s="329">
        <v>1</v>
      </c>
      <c r="X48" s="329">
        <v>0</v>
      </c>
      <c r="Y48" s="329">
        <v>0</v>
      </c>
      <c r="Z48" s="329">
        <v>1</v>
      </c>
      <c r="AA48" s="329">
        <v>0</v>
      </c>
      <c r="AB48" s="329">
        <v>1</v>
      </c>
      <c r="AC48" s="329">
        <v>0</v>
      </c>
      <c r="AD48" s="88">
        <v>0</v>
      </c>
      <c r="AE48" s="7"/>
      <c r="AF48" s="9" t="s">
        <v>484</v>
      </c>
      <c r="AG48" s="7"/>
      <c r="AH48" s="12">
        <v>0</v>
      </c>
    </row>
    <row r="49" spans="3:34" ht="15.75" thickBot="1" x14ac:dyDescent="0.3">
      <c r="C49" s="9" t="s">
        <v>485</v>
      </c>
      <c r="D49" s="7"/>
      <c r="E49" s="265">
        <v>0</v>
      </c>
      <c r="F49" s="265">
        <v>0</v>
      </c>
      <c r="G49" s="265">
        <v>0</v>
      </c>
      <c r="H49" s="265">
        <v>1</v>
      </c>
      <c r="I49" s="265">
        <v>1</v>
      </c>
      <c r="J49" s="265">
        <v>1</v>
      </c>
      <c r="K49" s="265">
        <v>1</v>
      </c>
      <c r="L49" s="88">
        <v>1</v>
      </c>
      <c r="M49" s="7"/>
      <c r="N49" s="12" t="s">
        <v>477</v>
      </c>
      <c r="O49" s="7"/>
      <c r="P49" s="12">
        <v>0</v>
      </c>
      <c r="U49" s="12" t="s">
        <v>477</v>
      </c>
      <c r="V49" s="7"/>
      <c r="W49" s="329">
        <v>0</v>
      </c>
      <c r="X49" s="329">
        <v>1</v>
      </c>
      <c r="Y49" s="329">
        <v>0</v>
      </c>
      <c r="Z49" s="329">
        <v>0</v>
      </c>
      <c r="AA49" s="329">
        <v>1</v>
      </c>
      <c r="AB49" s="329">
        <v>0</v>
      </c>
      <c r="AC49" s="329">
        <v>1</v>
      </c>
      <c r="AD49" s="14">
        <v>0</v>
      </c>
      <c r="AE49" s="7"/>
      <c r="AF49" s="9" t="s">
        <v>485</v>
      </c>
      <c r="AG49" s="7"/>
      <c r="AH49" s="12">
        <v>0</v>
      </c>
    </row>
    <row r="52" spans="3:34" ht="21" customHeight="1" x14ac:dyDescent="0.25">
      <c r="C52" s="401" t="s">
        <v>498</v>
      </c>
      <c r="D52" s="401"/>
      <c r="E52" s="401"/>
      <c r="F52" s="401"/>
      <c r="G52" s="401"/>
      <c r="H52" s="401"/>
      <c r="I52" s="401"/>
      <c r="J52" s="401"/>
      <c r="K52" s="401"/>
      <c r="L52" s="401"/>
      <c r="M52" s="401"/>
      <c r="N52" s="401"/>
      <c r="O52" s="401"/>
      <c r="P52" s="401"/>
      <c r="Q52" s="401"/>
      <c r="R52" s="401"/>
      <c r="S52" s="401"/>
      <c r="T52" s="401"/>
    </row>
    <row r="53" spans="3:34" ht="21" customHeight="1" x14ac:dyDescent="0.25">
      <c r="C53" s="401"/>
      <c r="D53" s="401"/>
      <c r="E53" s="401"/>
      <c r="F53" s="401"/>
      <c r="G53" s="401"/>
      <c r="H53" s="401"/>
      <c r="I53" s="401"/>
      <c r="J53" s="401"/>
      <c r="K53" s="401"/>
      <c r="L53" s="401"/>
      <c r="M53" s="401"/>
      <c r="N53" s="401"/>
      <c r="O53" s="401"/>
      <c r="P53" s="401"/>
      <c r="Q53" s="401"/>
      <c r="R53" s="401"/>
      <c r="S53" s="401"/>
      <c r="T53" s="401"/>
    </row>
  </sheetData>
  <sheetProtection sheet="1" objects="1" scenarios="1"/>
  <mergeCells count="9">
    <mergeCell ref="C40:P40"/>
    <mergeCell ref="U40:AH40"/>
    <mergeCell ref="C52:T53"/>
    <mergeCell ref="C2:S2"/>
    <mergeCell ref="C21:S21"/>
    <mergeCell ref="U21:AK21"/>
    <mergeCell ref="U2:AK2"/>
    <mergeCell ref="C1:S1"/>
    <mergeCell ref="U1:AK1"/>
  </mergeCells>
  <phoneticPr fontId="2"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7AA52-02F9-4D69-8547-7B8A01BA887B}">
  <sheetPr codeName="Sheet8"/>
  <dimension ref="A1:X76"/>
  <sheetViews>
    <sheetView tabSelected="1" zoomScale="50" zoomScaleNormal="50" workbookViewId="0">
      <selection activeCell="Q40" sqref="Q40"/>
    </sheetView>
  </sheetViews>
  <sheetFormatPr defaultColWidth="17.140625" defaultRowHeight="18" customHeight="1" x14ac:dyDescent="0.25"/>
  <cols>
    <col min="1" max="1" width="30" bestFit="1" customWidth="1"/>
    <col min="12" max="12" width="25.28515625" bestFit="1" customWidth="1"/>
  </cols>
  <sheetData>
    <row r="1" spans="1:12" ht="18" customHeight="1" x14ac:dyDescent="0.25">
      <c r="A1" s="385" t="s">
        <v>400</v>
      </c>
      <c r="B1" s="385"/>
      <c r="C1" s="385"/>
      <c r="D1" s="385"/>
      <c r="E1" s="385"/>
      <c r="F1" s="385"/>
    </row>
    <row r="2" spans="1:12" ht="18" customHeight="1" x14ac:dyDescent="0.25">
      <c r="A2" s="385"/>
      <c r="B2" s="385"/>
      <c r="C2" s="385"/>
      <c r="D2" s="385"/>
      <c r="E2" s="385"/>
      <c r="F2" s="385"/>
    </row>
    <row r="3" spans="1:12" ht="18" customHeight="1" x14ac:dyDescent="0.25">
      <c r="B3" s="117"/>
      <c r="C3" s="117"/>
      <c r="D3" s="117"/>
      <c r="E3" s="117"/>
      <c r="F3" s="117"/>
    </row>
    <row r="4" spans="1:12" ht="18" customHeight="1" x14ac:dyDescent="0.35">
      <c r="A4" s="132" t="s">
        <v>402</v>
      </c>
      <c r="B4" s="132" t="s">
        <v>90</v>
      </c>
      <c r="C4" s="132" t="s">
        <v>255</v>
      </c>
      <c r="D4" s="360" t="s">
        <v>282</v>
      </c>
      <c r="E4" s="360"/>
      <c r="F4" s="132" t="s">
        <v>298</v>
      </c>
      <c r="I4" s="387"/>
      <c r="J4" s="387"/>
      <c r="K4" s="132"/>
    </row>
    <row r="5" spans="1:12" ht="18" customHeight="1" x14ac:dyDescent="0.35">
      <c r="A5" s="132">
        <v>0</v>
      </c>
      <c r="B5" s="132" t="str">
        <f>_xlfn.BASE(C5,16,3)</f>
        <v>11B</v>
      </c>
      <c r="C5" s="132">
        <f>HEX2DEC("11B")</f>
        <v>283</v>
      </c>
      <c r="D5" s="387" t="str">
        <f>_xlfn.BASE(C5,2)</f>
        <v>100011011</v>
      </c>
      <c r="E5" s="387"/>
      <c r="F5" s="132">
        <f>LEN(D5)</f>
        <v>9</v>
      </c>
      <c r="G5" s="135"/>
    </row>
    <row r="6" spans="1:12" ht="18" customHeight="1" x14ac:dyDescent="0.35">
      <c r="A6" s="132">
        <v>1</v>
      </c>
      <c r="B6" s="132" t="str">
        <f>_xlfn.BASE(C6,16,3)</f>
        <v>236</v>
      </c>
      <c r="C6" s="132">
        <f>$C$5*(2^A6)</f>
        <v>566</v>
      </c>
      <c r="D6" s="387" t="str">
        <f t="shared" ref="D6:D8" si="0">_xlfn.BASE(C6,2)</f>
        <v>1000110110</v>
      </c>
      <c r="E6" s="387"/>
      <c r="F6" s="132">
        <f t="shared" ref="F6:F8" si="1">LEN(D6)</f>
        <v>10</v>
      </c>
    </row>
    <row r="7" spans="1:12" ht="18" customHeight="1" x14ac:dyDescent="0.35">
      <c r="A7" s="132">
        <v>2</v>
      </c>
      <c r="B7" s="132" t="str">
        <f t="shared" ref="B7:B8" si="2">_xlfn.BASE(C7,16,3)</f>
        <v>46C</v>
      </c>
      <c r="C7" s="132">
        <f>$C$5*(2^A7)</f>
        <v>1132</v>
      </c>
      <c r="D7" s="387" t="str">
        <f t="shared" si="0"/>
        <v>10001101100</v>
      </c>
      <c r="E7" s="387"/>
      <c r="F7" s="132">
        <f t="shared" si="1"/>
        <v>11</v>
      </c>
      <c r="H7" s="117"/>
    </row>
    <row r="8" spans="1:12" ht="18" customHeight="1" x14ac:dyDescent="0.35">
      <c r="A8" s="132">
        <v>3</v>
      </c>
      <c r="B8" s="132" t="str">
        <f t="shared" si="2"/>
        <v>8D8</v>
      </c>
      <c r="C8" s="132">
        <f>$C$5*(2^A8)</f>
        <v>2264</v>
      </c>
      <c r="D8" s="387" t="str">
        <f t="shared" si="0"/>
        <v>100011011000</v>
      </c>
      <c r="E8" s="387"/>
      <c r="F8" s="132">
        <f t="shared" si="1"/>
        <v>12</v>
      </c>
      <c r="H8" s="117"/>
    </row>
    <row r="9" spans="1:12" s="127" customFormat="1" ht="18" customHeight="1" x14ac:dyDescent="0.35">
      <c r="A9" s="133"/>
      <c r="B9" s="133"/>
      <c r="C9" s="133"/>
      <c r="D9" s="136"/>
      <c r="E9" s="136"/>
      <c r="F9" s="133"/>
    </row>
    <row r="10" spans="1:12" s="127" customFormat="1" ht="18" customHeight="1" x14ac:dyDescent="0.25">
      <c r="A10" s="385" t="s">
        <v>404</v>
      </c>
      <c r="B10" s="385"/>
      <c r="C10" s="385"/>
      <c r="D10" s="385"/>
      <c r="E10" s="385"/>
      <c r="F10" s="385"/>
      <c r="G10" s="385"/>
      <c r="H10" s="385"/>
      <c r="I10" s="385"/>
      <c r="J10" s="385"/>
      <c r="K10" s="385"/>
      <c r="L10" s="385"/>
    </row>
    <row r="11" spans="1:12" s="127" customFormat="1" ht="18" customHeight="1" x14ac:dyDescent="0.25">
      <c r="A11" s="385"/>
      <c r="B11" s="385"/>
      <c r="C11" s="385"/>
      <c r="D11" s="385"/>
      <c r="E11" s="385"/>
      <c r="F11" s="385"/>
      <c r="G11" s="385"/>
      <c r="H11" s="385"/>
      <c r="I11" s="385"/>
      <c r="J11" s="385"/>
      <c r="K11" s="385"/>
      <c r="L11" s="385"/>
    </row>
    <row r="12" spans="1:12" s="127" customFormat="1" ht="18" customHeight="1" x14ac:dyDescent="0.35">
      <c r="A12" s="133"/>
      <c r="B12" s="133"/>
      <c r="C12" s="133"/>
      <c r="D12" s="136"/>
      <c r="E12" s="136"/>
      <c r="F12" s="133"/>
    </row>
    <row r="13" spans="1:12" s="127" customFormat="1" ht="18" customHeight="1" x14ac:dyDescent="0.25">
      <c r="A13" s="385" t="s">
        <v>403</v>
      </c>
      <c r="B13" s="385"/>
      <c r="C13" s="385"/>
      <c r="D13" s="385"/>
      <c r="E13" s="385"/>
      <c r="F13" s="385"/>
    </row>
    <row r="14" spans="1:12" s="127" customFormat="1" ht="18" customHeight="1" x14ac:dyDescent="0.25">
      <c r="A14" s="385"/>
      <c r="B14" s="385"/>
      <c r="C14" s="385"/>
      <c r="D14" s="385"/>
      <c r="E14" s="385"/>
      <c r="F14" s="385"/>
    </row>
    <row r="15" spans="1:12" s="127" customFormat="1" ht="18" customHeight="1" x14ac:dyDescent="0.35">
      <c r="A15" s="133"/>
      <c r="B15" s="133"/>
      <c r="C15" s="133"/>
      <c r="D15" s="136"/>
      <c r="E15" s="136"/>
      <c r="F15" s="133"/>
    </row>
    <row r="16" spans="1:12" s="127" customFormat="1" ht="18" customHeight="1" x14ac:dyDescent="0.25"/>
    <row r="17" spans="1:21" s="127" customFormat="1" ht="18" customHeight="1" x14ac:dyDescent="0.25">
      <c r="A17" s="1"/>
      <c r="B17" s="1"/>
      <c r="C17" s="340" t="s">
        <v>50</v>
      </c>
      <c r="D17" s="340"/>
      <c r="E17" s="340"/>
      <c r="F17" s="340"/>
      <c r="R17" s="3"/>
      <c r="S17" s="3"/>
      <c r="T17" s="3"/>
      <c r="U17" s="3"/>
    </row>
    <row r="18" spans="1:21" s="127" customFormat="1" ht="18" customHeight="1" thickBot="1" x14ac:dyDescent="0.3">
      <c r="A18" s="3"/>
      <c r="B18" s="3"/>
      <c r="C18" s="124">
        <v>0</v>
      </c>
      <c r="D18" s="124">
        <v>1</v>
      </c>
      <c r="E18" s="124">
        <v>2</v>
      </c>
      <c r="F18" s="124">
        <v>3</v>
      </c>
      <c r="K18" s="3"/>
      <c r="L18" s="3"/>
      <c r="O18" s="2"/>
      <c r="P18" s="3"/>
      <c r="Q18" s="3"/>
      <c r="R18" s="2"/>
      <c r="T18" s="3"/>
      <c r="U18" s="3"/>
    </row>
    <row r="19" spans="1:21" s="127" customFormat="1" ht="18" customHeight="1" x14ac:dyDescent="0.25">
      <c r="A19" s="336" t="s">
        <v>49</v>
      </c>
      <c r="B19" s="123">
        <v>0</v>
      </c>
      <c r="C19" s="8" t="s">
        <v>26</v>
      </c>
      <c r="D19" s="122" t="s">
        <v>30</v>
      </c>
      <c r="E19" s="122" t="s">
        <v>34</v>
      </c>
      <c r="F19" s="11" t="s">
        <v>38</v>
      </c>
      <c r="G19" s="4"/>
      <c r="H19" s="129">
        <v>2</v>
      </c>
      <c r="I19" s="125">
        <v>3</v>
      </c>
      <c r="J19" s="125">
        <v>1</v>
      </c>
      <c r="K19" s="11">
        <v>1</v>
      </c>
      <c r="L19" s="4"/>
      <c r="M19" s="12" t="s">
        <v>51</v>
      </c>
      <c r="N19" s="4"/>
      <c r="O19" s="122" t="s">
        <v>56</v>
      </c>
      <c r="P19" s="122" t="s">
        <v>60</v>
      </c>
      <c r="Q19" s="122" t="s">
        <v>64</v>
      </c>
      <c r="R19" s="11" t="s">
        <v>68</v>
      </c>
      <c r="S19" s="5"/>
    </row>
    <row r="20" spans="1:21" s="127" customFormat="1" ht="18" customHeight="1" x14ac:dyDescent="0.35">
      <c r="A20" s="336"/>
      <c r="B20" s="123">
        <v>1</v>
      </c>
      <c r="C20" s="122" t="s">
        <v>31</v>
      </c>
      <c r="D20" s="122" t="s">
        <v>35</v>
      </c>
      <c r="E20" s="122" t="s">
        <v>39</v>
      </c>
      <c r="F20" s="88" t="s">
        <v>27</v>
      </c>
      <c r="G20" s="22"/>
      <c r="H20" s="125">
        <v>1</v>
      </c>
      <c r="I20" s="125">
        <v>2</v>
      </c>
      <c r="J20" s="125">
        <v>3</v>
      </c>
      <c r="K20" s="88">
        <v>1</v>
      </c>
      <c r="L20" s="147" t="s">
        <v>25</v>
      </c>
      <c r="M20" s="12" t="s">
        <v>51</v>
      </c>
      <c r="N20" s="148" t="s">
        <v>8</v>
      </c>
      <c r="O20" s="122" t="s">
        <v>57</v>
      </c>
      <c r="P20" s="122" t="s">
        <v>61</v>
      </c>
      <c r="Q20" s="122" t="s">
        <v>65</v>
      </c>
      <c r="R20" s="88" t="s">
        <v>69</v>
      </c>
    </row>
    <row r="21" spans="1:21" s="127" customFormat="1" ht="18" customHeight="1" x14ac:dyDescent="0.25">
      <c r="A21" s="336"/>
      <c r="B21" s="123">
        <v>2</v>
      </c>
      <c r="C21" s="122" t="s">
        <v>36</v>
      </c>
      <c r="D21" s="122" t="s">
        <v>40</v>
      </c>
      <c r="E21" s="122" t="s">
        <v>28</v>
      </c>
      <c r="F21" s="88" t="s">
        <v>32</v>
      </c>
      <c r="G21" s="4"/>
      <c r="H21" s="125">
        <v>1</v>
      </c>
      <c r="I21" s="125">
        <v>1</v>
      </c>
      <c r="J21" s="125">
        <v>2</v>
      </c>
      <c r="K21" s="88">
        <v>3</v>
      </c>
      <c r="L21" s="4"/>
      <c r="M21" s="12" t="s">
        <v>51</v>
      </c>
      <c r="N21" s="4"/>
      <c r="O21" s="122" t="s">
        <v>58</v>
      </c>
      <c r="P21" s="122" t="s">
        <v>62</v>
      </c>
      <c r="Q21" s="122" t="s">
        <v>66</v>
      </c>
      <c r="R21" s="88" t="s">
        <v>70</v>
      </c>
      <c r="S21" s="5"/>
    </row>
    <row r="22" spans="1:21" s="127" customFormat="1" ht="18" customHeight="1" thickBot="1" x14ac:dyDescent="0.3">
      <c r="A22" s="336"/>
      <c r="B22" s="123">
        <v>3</v>
      </c>
      <c r="C22" s="16" t="s">
        <v>41</v>
      </c>
      <c r="D22" s="122" t="s">
        <v>29</v>
      </c>
      <c r="E22" s="122" t="s">
        <v>33</v>
      </c>
      <c r="F22" s="14" t="s">
        <v>37</v>
      </c>
      <c r="G22" s="4"/>
      <c r="H22" s="16">
        <v>3</v>
      </c>
      <c r="I22" s="125">
        <v>1</v>
      </c>
      <c r="J22" s="125">
        <v>1</v>
      </c>
      <c r="K22" s="88">
        <v>2</v>
      </c>
      <c r="L22" s="4"/>
      <c r="M22" s="12" t="s">
        <v>51</v>
      </c>
      <c r="N22" s="4"/>
      <c r="O22" s="122" t="s">
        <v>59</v>
      </c>
      <c r="P22" s="122" t="s">
        <v>63</v>
      </c>
      <c r="Q22" s="122" t="s">
        <v>67</v>
      </c>
      <c r="R22" s="14" t="s">
        <v>71</v>
      </c>
      <c r="S22" s="5"/>
    </row>
    <row r="23" spans="1:21" s="127" customFormat="1" ht="18" customHeight="1" x14ac:dyDescent="0.25">
      <c r="A23" s="3"/>
      <c r="B23" s="3"/>
      <c r="C23" s="3"/>
      <c r="D23" s="3"/>
      <c r="I23" s="3"/>
      <c r="K23" s="6"/>
      <c r="O23" s="6"/>
      <c r="P23" s="3"/>
      <c r="Q23" s="3"/>
      <c r="R23" s="3"/>
    </row>
    <row r="24" spans="1:21" s="127" customFormat="1" ht="18" customHeight="1" x14ac:dyDescent="0.25"/>
    <row r="25" spans="1:21" s="127" customFormat="1" ht="18" customHeight="1" x14ac:dyDescent="0.25">
      <c r="A25" s="385" t="s">
        <v>405</v>
      </c>
      <c r="B25" s="385"/>
      <c r="C25" s="385"/>
      <c r="D25" s="385"/>
      <c r="E25" s="385"/>
      <c r="F25" s="385"/>
    </row>
    <row r="26" spans="1:21" ht="18" customHeight="1" x14ac:dyDescent="0.25">
      <c r="A26" s="385"/>
      <c r="B26" s="385"/>
      <c r="C26" s="385"/>
      <c r="D26" s="385"/>
      <c r="E26" s="385"/>
      <c r="F26" s="385"/>
      <c r="H26" s="117"/>
      <c r="P26" s="127"/>
      <c r="Q26" s="127"/>
      <c r="R26" s="127"/>
      <c r="S26" s="127"/>
      <c r="T26" s="127"/>
      <c r="U26" s="127"/>
    </row>
    <row r="29" spans="1:21" ht="18" customHeight="1" x14ac:dyDescent="0.35">
      <c r="A29" s="132"/>
      <c r="B29" s="132"/>
      <c r="C29" s="132" t="s">
        <v>52</v>
      </c>
      <c r="D29" s="132" t="s">
        <v>299</v>
      </c>
      <c r="E29" s="132" t="s">
        <v>301</v>
      </c>
      <c r="F29" s="132" t="s">
        <v>302</v>
      </c>
    </row>
    <row r="30" spans="1:21" ht="18" customHeight="1" x14ac:dyDescent="0.25">
      <c r="C30" s="317">
        <v>243</v>
      </c>
      <c r="D30" s="317">
        <v>136</v>
      </c>
      <c r="E30" s="317">
        <v>129</v>
      </c>
      <c r="F30" s="317">
        <v>60</v>
      </c>
    </row>
    <row r="31" spans="1:21" ht="18" customHeight="1" x14ac:dyDescent="0.25">
      <c r="C31" s="324" t="str">
        <f>IF(ISBLANK(C30),"Randomised",IF(AND(0&lt;=C30,C30&lt;=255),"Accepted","Not Accepted"))</f>
        <v>Accepted</v>
      </c>
      <c r="D31" s="324" t="str">
        <f t="shared" ref="D31" si="3">IF(ISBLANK(D30),"Randomised",IF(AND(0&lt;=D30,D30&lt;=255),"Accepted","Not Accepted"))</f>
        <v>Accepted</v>
      </c>
      <c r="E31" s="324" t="str">
        <f t="shared" ref="E31" si="4">IF(ISBLANK(E30),"Randomised",IF(AND(0&lt;=E30,E30&lt;=255),"Accepted","Not Accepted"))</f>
        <v>Accepted</v>
      </c>
      <c r="F31" s="324" t="str">
        <f t="shared" ref="F31" si="5">IF(ISBLANK(F30),"Randomised",IF(AND(0&lt;=F30,F30&lt;=255),"Accepted","Not Accepted"))</f>
        <v>Accepted</v>
      </c>
    </row>
    <row r="32" spans="1:21" ht="18" customHeight="1" x14ac:dyDescent="0.25">
      <c r="A32" s="117"/>
      <c r="B32" s="117"/>
      <c r="C32" s="339" t="s">
        <v>56</v>
      </c>
      <c r="D32" s="339"/>
      <c r="E32" s="339"/>
      <c r="F32" s="339"/>
      <c r="G32" s="115" t="s">
        <v>298</v>
      </c>
      <c r="H32" s="340" t="s">
        <v>256</v>
      </c>
      <c r="I32" s="340"/>
      <c r="J32" s="340"/>
    </row>
    <row r="33" spans="1:24" ht="18" customHeight="1" x14ac:dyDescent="0.25">
      <c r="A33" s="386" t="s">
        <v>259</v>
      </c>
      <c r="B33" s="117"/>
      <c r="C33" s="116">
        <f ca="1">IF(ISBLANK(C30),RANDBETWEEN(0,255),IF(AND(0&lt;=C30,C30&lt;=255),C30,RANDBETWEEN(0,255)))</f>
        <v>243</v>
      </c>
      <c r="D33" s="116">
        <f ca="1">IF(ISBLANK(D30),RANDBETWEEN(0,255),IF(AND(0&lt;=D30,D30&lt;=255),D30,RANDBETWEEN(0,255)))</f>
        <v>136</v>
      </c>
      <c r="E33" s="116">
        <f ca="1">IF(ISBLANK(E30),RANDBETWEEN(0,255),IF(AND(0&lt;=E30,E30&lt;=255),E30,RANDBETWEEN(0,255)))</f>
        <v>129</v>
      </c>
      <c r="F33" s="116">
        <f ca="1">IF(ISBLANK(F30),RANDBETWEEN(0,255),IF(AND(0&lt;=F30,F30&lt;=255),F30,RANDBETWEEN(0,255)))</f>
        <v>60</v>
      </c>
      <c r="G33" s="116" t="str">
        <f ca="1">LEN(_xlfn.BASE(C33,2,8))&amp;","&amp;LEN(_xlfn.BASE(D33,2,8))&amp;","&amp;LEN(_xlfn.BASE(E33,2,8))&amp;","&amp;LEN(_xlfn.BASE(F33,2,8))</f>
        <v>8,8,8,8</v>
      </c>
      <c r="H33" s="339" t="str">
        <f ca="1">_xlfn.BASE(C33,2,8)&amp;","&amp;_xlfn.BASE(D33,2,8)&amp;","&amp;_xlfn.BASE(E33,2,8)&amp;","&amp;_xlfn.BASE(F33,2,8)</f>
        <v>11110011,10001000,10000001,00111100</v>
      </c>
      <c r="I33" s="339"/>
      <c r="J33" s="339"/>
    </row>
    <row r="34" spans="1:24" ht="18" customHeight="1" x14ac:dyDescent="0.25">
      <c r="A34" s="386"/>
      <c r="B34" s="115" t="s">
        <v>312</v>
      </c>
      <c r="C34" s="118">
        <v>2</v>
      </c>
      <c r="D34" s="118">
        <v>3</v>
      </c>
      <c r="E34" s="118">
        <v>1</v>
      </c>
      <c r="F34" s="118">
        <v>1</v>
      </c>
      <c r="G34" s="118"/>
      <c r="H34" s="366"/>
      <c r="I34" s="366"/>
      <c r="J34" s="366"/>
    </row>
    <row r="35" spans="1:24" ht="18" customHeight="1" x14ac:dyDescent="0.25">
      <c r="A35" s="390" t="s">
        <v>311</v>
      </c>
      <c r="B35" s="117"/>
      <c r="C35" s="115">
        <f ca="1">C34*C33</f>
        <v>486</v>
      </c>
      <c r="D35" s="115">
        <f ca="1">_xlfn.BITXOR(2*D33,D33)</f>
        <v>408</v>
      </c>
      <c r="E35" s="115">
        <f ca="1">E33*E34</f>
        <v>129</v>
      </c>
      <c r="F35" s="115">
        <f ca="1">F33*F34</f>
        <v>60</v>
      </c>
      <c r="G35" s="115" t="str">
        <f ca="1">LEN(_xlfn.BASE(C35,2,8))&amp;","&amp;LEN(_xlfn.BASE(D35,2,8))&amp;","&amp;LEN(_xlfn.BASE(E35,2,8))&amp;","&amp;LEN(_xlfn.BASE(F35,2,8))</f>
        <v>9,9,8,8</v>
      </c>
      <c r="H35" s="340" t="str">
        <f ca="1">_xlfn.BASE(C35,2,8)&amp;","&amp;_xlfn.BASE(D35,2,8)&amp;","&amp;_xlfn.BASE(E35,2,8)&amp;","&amp;_xlfn.BASE(F35,2,8)</f>
        <v>111100110,110011000,10000001,00111100</v>
      </c>
      <c r="I35" s="340"/>
      <c r="J35" s="340"/>
    </row>
    <row r="36" spans="1:24" ht="18" customHeight="1" x14ac:dyDescent="0.25">
      <c r="A36" s="390"/>
      <c r="B36" s="118" t="s">
        <v>72</v>
      </c>
      <c r="C36" s="118">
        <f ca="1">IF(LEN(_xlfn.BASE(C35,2,8))-9&lt;0,C35,IF(LEN(_xlfn.BASE(C35,2,8))-9=0,283,IF(LEN(_xlfn.BASE(C35,2,8))-9=1,566,IF(LEN(_xlfn.BASE(C35,2,8))-9=2,1132,IF(LEN(_xlfn.BASE(C35,2,8))-9=3,2264)))))</f>
        <v>283</v>
      </c>
      <c r="D36" s="118">
        <f t="shared" ref="D36:E36" ca="1" si="6">IF(LEN(_xlfn.BASE(D35,2,8))-9&lt;0,D35,IF(LEN(_xlfn.BASE(D35,2,8))-9=0,283,IF(LEN(_xlfn.BASE(D35,2,8))-9=1,566,IF(LEN(_xlfn.BASE(D35,2,8))-9=2,1132,IF(LEN(_xlfn.BASE(D35,2,8))-9=3,2264)))))</f>
        <v>283</v>
      </c>
      <c r="E36" s="118">
        <f t="shared" ca="1" si="6"/>
        <v>129</v>
      </c>
      <c r="F36" s="118">
        <f ca="1">IF(LEN(_xlfn.BASE(F35,2,8))-9&lt;0,F35,IF(LEN(_xlfn.BASE(F35,2,8))-9=0,283,IF(LEN(_xlfn.BASE(F35,2,8))-9=1,566,IF(LEN(_xlfn.BASE(F35,2,8))-9=2,1132,IF(LEN(_xlfn.BASE(F35,2,8))-9=3,2264)))))</f>
        <v>60</v>
      </c>
      <c r="G36" s="118" t="str">
        <f t="shared" ref="G36:G41" ca="1" si="7">LEN(_xlfn.BASE(C36,2,8))&amp;","&amp;LEN(_xlfn.BASE(D36,2,8))&amp;","&amp;LEN(_xlfn.BASE(E36,2,8))&amp;","&amp;LEN(_xlfn.BASE(F36,2,8))</f>
        <v>9,9,8,8</v>
      </c>
      <c r="H36" s="366" t="str">
        <f t="shared" ref="H36:H41" ca="1" si="8">_xlfn.BASE(C36,2,8)&amp;","&amp;_xlfn.BASE(D36,2,8)&amp;","&amp;_xlfn.BASE(E36,2,8)&amp;","&amp;_xlfn.BASE(F36,2,8)</f>
        <v>100011011,100011011,10000001,00111100</v>
      </c>
      <c r="I36" s="366"/>
      <c r="J36" s="366"/>
    </row>
    <row r="37" spans="1:24" ht="18" customHeight="1" x14ac:dyDescent="0.25">
      <c r="A37" s="390"/>
      <c r="B37" s="115"/>
      <c r="C37" s="115">
        <f ca="1">IF(_xlfn.BITXOR(C35,C36)=0,C35,_xlfn.BITXOR(C35,C36))</f>
        <v>253</v>
      </c>
      <c r="D37" s="115">
        <f ca="1">IF(_xlfn.BITXOR(D35,D36)=0,D35,_xlfn.BITXOR(D35,D36))</f>
        <v>131</v>
      </c>
      <c r="E37" s="115">
        <f ca="1">IF(_xlfn.BITXOR(E35,E36)=0,E35,_xlfn.BITXOR(E35,E36))</f>
        <v>129</v>
      </c>
      <c r="F37" s="115">
        <f ca="1">IF(_xlfn.BITXOR(F35,F36)=0,F35,_xlfn.BITXOR(F35,F36))</f>
        <v>60</v>
      </c>
      <c r="G37" s="115" t="str">
        <f ca="1">LEN(_xlfn.BASE(C37,2,8))&amp;","&amp;LEN(_xlfn.BASE(D37,2,8))&amp;","&amp;LEN(_xlfn.BASE(E37,2,8))&amp;","&amp;LEN(_xlfn.BASE(F37,2,8))</f>
        <v>8,8,8,8</v>
      </c>
      <c r="H37" s="340" t="str">
        <f t="shared" ca="1" si="8"/>
        <v>11111101,10000011,10000001,00111100</v>
      </c>
      <c r="I37" s="340"/>
      <c r="J37" s="340"/>
    </row>
    <row r="38" spans="1:24" ht="18" customHeight="1" x14ac:dyDescent="0.25">
      <c r="A38" s="390"/>
      <c r="B38" s="118" t="s">
        <v>72</v>
      </c>
      <c r="C38" s="118">
        <f ca="1">IF(LEN(_xlfn.BASE(C37,2,8))-9&lt;0,C37,IF(LEN(_xlfn.BASE(C37,2,8))-9=0,283,IF(LEN(_xlfn.BASE(C37,2,8))-9=1,566,IF(LEN(_xlfn.BASE(C37,2,8))-9=2,1132,IF(LEN(_xlfn.BASE(C37,2,8))-9=3,2264)))))</f>
        <v>253</v>
      </c>
      <c r="D38" s="118">
        <f t="shared" ref="D38:F38" ca="1" si="9">IF(LEN(_xlfn.BASE(D37,2,8))-9&lt;0,D37,IF(LEN(_xlfn.BASE(D37,2,8))-9=0,283,IF(LEN(_xlfn.BASE(D37,2,8))-9=1,566,IF(LEN(_xlfn.BASE(D37,2,8))-9=2,1132,IF(LEN(_xlfn.BASE(D37,2,8))-9=3,2264)))))</f>
        <v>131</v>
      </c>
      <c r="E38" s="118">
        <f t="shared" ca="1" si="9"/>
        <v>129</v>
      </c>
      <c r="F38" s="118">
        <f t="shared" ca="1" si="9"/>
        <v>60</v>
      </c>
      <c r="G38" s="118" t="str">
        <f t="shared" ca="1" si="7"/>
        <v>8,8,8,8</v>
      </c>
      <c r="H38" s="366" t="str">
        <f t="shared" ca="1" si="8"/>
        <v>11111101,10000011,10000001,00111100</v>
      </c>
      <c r="I38" s="366"/>
      <c r="J38" s="366"/>
      <c r="T38" s="126"/>
      <c r="U38" s="126"/>
      <c r="V38" s="126"/>
      <c r="W38" s="126"/>
    </row>
    <row r="39" spans="1:24" ht="18" customHeight="1" x14ac:dyDescent="0.25">
      <c r="A39" s="390"/>
      <c r="B39" s="115"/>
      <c r="C39" s="116">
        <f ca="1">IF(_xlfn.BITXOR(C37,C38)=0,C38,_xlfn.BITXOR(C37,C38))</f>
        <v>253</v>
      </c>
      <c r="D39" s="116">
        <f t="shared" ref="D39:F39" ca="1" si="10">IF(_xlfn.BITXOR(D37,D38)=0,D38,_xlfn.BITXOR(D37,D38))</f>
        <v>131</v>
      </c>
      <c r="E39" s="116">
        <f t="shared" ca="1" si="10"/>
        <v>129</v>
      </c>
      <c r="F39" s="116">
        <f t="shared" ca="1" si="10"/>
        <v>60</v>
      </c>
      <c r="G39" s="115" t="str">
        <f t="shared" ca="1" si="7"/>
        <v>8,8,8,8</v>
      </c>
      <c r="H39" s="340" t="str">
        <f t="shared" ca="1" si="8"/>
        <v>11111101,10000011,10000001,00111100</v>
      </c>
      <c r="I39" s="340"/>
      <c r="J39" s="340"/>
      <c r="T39" s="126"/>
      <c r="U39" s="126"/>
      <c r="V39" s="126"/>
      <c r="W39" s="126"/>
    </row>
    <row r="40" spans="1:24" ht="18" customHeight="1" x14ac:dyDescent="0.25">
      <c r="A40" s="390"/>
      <c r="B40" s="93" t="s">
        <v>72</v>
      </c>
      <c r="C40" s="118">
        <f ca="1">IF(LEN(_xlfn.BASE(C39,2,8))-9&lt;0,C39,IF(LEN(_xlfn.BASE(C39,2,8))-9=0,283,IF(LEN(_xlfn.BASE(C39,2,8))-9=1,566,IF(LEN(_xlfn.BASE(C39,2,8))-9=2,1132,IF(LEN(_xlfn.BASE(C39,2,8))-9=3,2264)))))</f>
        <v>253</v>
      </c>
      <c r="D40" s="118">
        <f t="shared" ref="D40:F40" ca="1" si="11">IF(LEN(_xlfn.BASE(D39,2,8))-9&lt;0,D39,IF(LEN(_xlfn.BASE(D39,2,8))-9=0,283,IF(LEN(_xlfn.BASE(D39,2,8))-9=1,566,IF(LEN(_xlfn.BASE(D39,2,8))-9=2,1132,IF(LEN(_xlfn.BASE(D39,2,8))-9=3,2264)))))</f>
        <v>131</v>
      </c>
      <c r="E40" s="118">
        <f t="shared" ca="1" si="11"/>
        <v>129</v>
      </c>
      <c r="F40" s="118">
        <f t="shared" ca="1" si="11"/>
        <v>60</v>
      </c>
      <c r="G40" s="93" t="str">
        <f t="shared" ca="1" si="7"/>
        <v>8,8,8,8</v>
      </c>
      <c r="H40" s="366" t="str">
        <f t="shared" ca="1" si="8"/>
        <v>11111101,10000011,10000001,00111100</v>
      </c>
      <c r="I40" s="366"/>
      <c r="J40" s="366"/>
      <c r="T40" s="126"/>
      <c r="U40" s="126"/>
      <c r="W40" s="126"/>
    </row>
    <row r="41" spans="1:24" ht="18" customHeight="1" x14ac:dyDescent="0.25">
      <c r="A41" s="390"/>
      <c r="B41" s="117"/>
      <c r="C41" s="116">
        <f ca="1">IF(_xlfn.BITXOR(C39,C40)=0,C40,_xlfn.BITXOR(C39,C40))</f>
        <v>253</v>
      </c>
      <c r="D41" s="116">
        <f t="shared" ref="D41:F41" ca="1" si="12">IF(_xlfn.BITXOR(D39,D40)=0,D40,_xlfn.BITXOR(D39,D40))</f>
        <v>131</v>
      </c>
      <c r="E41" s="116">
        <f t="shared" ca="1" si="12"/>
        <v>129</v>
      </c>
      <c r="F41" s="116">
        <f t="shared" ca="1" si="12"/>
        <v>60</v>
      </c>
      <c r="G41" s="115" t="str">
        <f t="shared" ca="1" si="7"/>
        <v>8,8,8,8</v>
      </c>
      <c r="H41" s="340" t="str">
        <f t="shared" ca="1" si="8"/>
        <v>11111101,10000011,10000001,00111100</v>
      </c>
      <c r="I41" s="340"/>
      <c r="J41" s="340"/>
      <c r="T41" s="126"/>
      <c r="U41" s="126"/>
      <c r="W41" s="126"/>
    </row>
    <row r="42" spans="1:24" ht="18" customHeight="1" x14ac:dyDescent="0.25">
      <c r="A42" s="63"/>
      <c r="B42" s="117"/>
      <c r="C42" s="370">
        <f ca="1">_xlfn.BITXOR(_xlfn.BITXOR(C41,D41),_xlfn.BITXOR(E41,F41))</f>
        <v>195</v>
      </c>
      <c r="D42" s="370"/>
      <c r="E42" s="370"/>
      <c r="F42" s="370"/>
      <c r="G42" s="117"/>
      <c r="H42" s="117"/>
      <c r="I42" s="117"/>
      <c r="J42" s="115"/>
      <c r="T42" s="126"/>
      <c r="V42" s="126"/>
      <c r="W42" s="126"/>
    </row>
    <row r="43" spans="1:24" ht="18" customHeight="1" x14ac:dyDescent="0.25">
      <c r="U43" s="126"/>
      <c r="V43" s="127"/>
      <c r="W43" s="126"/>
      <c r="X43" s="127"/>
    </row>
    <row r="44" spans="1:24" s="127" customFormat="1" ht="18" customHeight="1" x14ac:dyDescent="0.25">
      <c r="A44" s="385" t="s">
        <v>406</v>
      </c>
      <c r="B44" s="385"/>
      <c r="C44" s="385"/>
      <c r="D44" s="385"/>
      <c r="E44" s="385"/>
      <c r="F44" s="385"/>
      <c r="G44" s="385"/>
      <c r="H44" s="385"/>
      <c r="I44" s="385"/>
      <c r="J44" s="385"/>
      <c r="K44" s="385"/>
      <c r="L44" s="385"/>
      <c r="U44" s="126"/>
      <c r="W44" s="126"/>
    </row>
    <row r="45" spans="1:24" s="127" customFormat="1" ht="18" customHeight="1" x14ac:dyDescent="0.25">
      <c r="A45" s="385"/>
      <c r="B45" s="385"/>
      <c r="C45" s="385"/>
      <c r="D45" s="385"/>
      <c r="E45" s="385"/>
      <c r="F45" s="385"/>
      <c r="G45" s="385"/>
      <c r="H45" s="385"/>
      <c r="I45" s="385"/>
      <c r="J45" s="385"/>
      <c r="K45" s="385"/>
      <c r="L45" s="385"/>
      <c r="U45" s="126"/>
      <c r="W45" s="126"/>
    </row>
    <row r="46" spans="1:24" s="127" customFormat="1" ht="18" customHeight="1" x14ac:dyDescent="0.35">
      <c r="A46" s="133"/>
      <c r="B46" s="133"/>
      <c r="C46" s="133"/>
      <c r="D46" s="136"/>
      <c r="E46" s="136"/>
      <c r="F46" s="133"/>
      <c r="V46" s="32"/>
      <c r="X46" s="32"/>
    </row>
    <row r="47" spans="1:24" s="127" customFormat="1" ht="18" customHeight="1" x14ac:dyDescent="0.25">
      <c r="A47" s="385" t="s">
        <v>408</v>
      </c>
      <c r="B47" s="385"/>
      <c r="C47" s="385"/>
      <c r="D47" s="385"/>
      <c r="E47" s="385"/>
      <c r="F47" s="385"/>
    </row>
    <row r="48" spans="1:24" s="127" customFormat="1" ht="18" customHeight="1" x14ac:dyDescent="0.25">
      <c r="A48" s="385"/>
      <c r="B48" s="385"/>
      <c r="C48" s="385"/>
      <c r="D48" s="385"/>
      <c r="E48" s="385"/>
      <c r="F48" s="385"/>
      <c r="V48" s="149"/>
    </row>
    <row r="49" spans="1:21" s="127" customFormat="1" ht="18" customHeight="1" x14ac:dyDescent="0.35">
      <c r="A49" s="133"/>
      <c r="B49" s="133"/>
      <c r="C49" s="133"/>
      <c r="D49" s="136"/>
      <c r="E49" s="136"/>
      <c r="F49" s="133"/>
    </row>
    <row r="50" spans="1:21" s="127" customFormat="1" ht="18" customHeight="1" x14ac:dyDescent="0.25"/>
    <row r="51" spans="1:21" s="127" customFormat="1" ht="18" customHeight="1" x14ac:dyDescent="0.3">
      <c r="A51" s="1"/>
      <c r="B51" s="1"/>
      <c r="C51" s="388" t="s">
        <v>50</v>
      </c>
      <c r="D51" s="388"/>
      <c r="E51" s="388"/>
      <c r="F51" s="388"/>
      <c r="R51" s="3"/>
      <c r="S51" s="3"/>
      <c r="T51" s="3"/>
      <c r="U51" s="3"/>
    </row>
    <row r="52" spans="1:21" s="127" customFormat="1" ht="18" customHeight="1" thickBot="1" x14ac:dyDescent="0.3">
      <c r="A52" s="3"/>
      <c r="B52" s="3"/>
      <c r="C52" s="124">
        <v>0</v>
      </c>
      <c r="D52" s="124">
        <v>1</v>
      </c>
      <c r="E52" s="124">
        <v>2</v>
      </c>
      <c r="F52" s="124">
        <v>3</v>
      </c>
      <c r="K52" s="3"/>
      <c r="L52" s="3"/>
      <c r="O52" s="2"/>
      <c r="P52" s="3"/>
      <c r="Q52" s="3"/>
      <c r="R52" s="2"/>
      <c r="T52" s="3"/>
      <c r="U52" s="3"/>
    </row>
    <row r="53" spans="1:21" s="127" customFormat="1" ht="18" customHeight="1" x14ac:dyDescent="0.25">
      <c r="A53" s="389" t="s">
        <v>49</v>
      </c>
      <c r="B53" s="123">
        <v>0</v>
      </c>
      <c r="C53" s="8" t="s">
        <v>56</v>
      </c>
      <c r="D53" s="122" t="s">
        <v>60</v>
      </c>
      <c r="E53" s="122" t="s">
        <v>64</v>
      </c>
      <c r="F53" s="11" t="s">
        <v>68</v>
      </c>
      <c r="G53" s="4"/>
      <c r="H53" s="129">
        <v>14</v>
      </c>
      <c r="I53" s="125">
        <v>11</v>
      </c>
      <c r="J53" s="125">
        <v>13</v>
      </c>
      <c r="K53" s="11">
        <v>9</v>
      </c>
      <c r="L53" s="4"/>
      <c r="M53" s="12" t="s">
        <v>51</v>
      </c>
      <c r="N53" s="4"/>
      <c r="O53" s="8" t="s">
        <v>26</v>
      </c>
      <c r="P53" s="122" t="s">
        <v>30</v>
      </c>
      <c r="Q53" s="122" t="s">
        <v>34</v>
      </c>
      <c r="R53" s="11" t="s">
        <v>38</v>
      </c>
      <c r="S53" s="5"/>
    </row>
    <row r="54" spans="1:21" s="127" customFormat="1" ht="18" customHeight="1" x14ac:dyDescent="0.35">
      <c r="A54" s="389"/>
      <c r="B54" s="123">
        <v>1</v>
      </c>
      <c r="C54" s="122" t="s">
        <v>57</v>
      </c>
      <c r="D54" s="122" t="s">
        <v>61</v>
      </c>
      <c r="E54" s="122" t="s">
        <v>65</v>
      </c>
      <c r="F54" s="88" t="s">
        <v>69</v>
      </c>
      <c r="G54" s="22"/>
      <c r="H54" s="125">
        <v>9</v>
      </c>
      <c r="I54" s="125">
        <v>14</v>
      </c>
      <c r="J54" s="125">
        <v>11</v>
      </c>
      <c r="K54" s="88">
        <v>13</v>
      </c>
      <c r="L54" s="147" t="s">
        <v>25</v>
      </c>
      <c r="M54" s="12" t="s">
        <v>51</v>
      </c>
      <c r="N54" s="148" t="s">
        <v>8</v>
      </c>
      <c r="O54" s="122" t="s">
        <v>31</v>
      </c>
      <c r="P54" s="122" t="s">
        <v>35</v>
      </c>
      <c r="Q54" s="122" t="s">
        <v>39</v>
      </c>
      <c r="R54" s="88" t="s">
        <v>27</v>
      </c>
    </row>
    <row r="55" spans="1:21" s="127" customFormat="1" ht="18" customHeight="1" x14ac:dyDescent="0.25">
      <c r="A55" s="389"/>
      <c r="B55" s="123">
        <v>2</v>
      </c>
      <c r="C55" s="122" t="s">
        <v>58</v>
      </c>
      <c r="D55" s="122" t="s">
        <v>62</v>
      </c>
      <c r="E55" s="122" t="s">
        <v>66</v>
      </c>
      <c r="F55" s="88" t="s">
        <v>70</v>
      </c>
      <c r="G55" s="4"/>
      <c r="H55" s="125">
        <v>13</v>
      </c>
      <c r="I55" s="125">
        <v>9</v>
      </c>
      <c r="J55" s="125">
        <v>14</v>
      </c>
      <c r="K55" s="88">
        <v>11</v>
      </c>
      <c r="L55" s="4"/>
      <c r="M55" s="12" t="s">
        <v>51</v>
      </c>
      <c r="N55" s="4"/>
      <c r="O55" s="122" t="s">
        <v>36</v>
      </c>
      <c r="P55" s="122" t="s">
        <v>40</v>
      </c>
      <c r="Q55" s="122" t="s">
        <v>28</v>
      </c>
      <c r="R55" s="88" t="s">
        <v>32</v>
      </c>
      <c r="S55" s="5"/>
    </row>
    <row r="56" spans="1:21" s="127" customFormat="1" ht="18" customHeight="1" thickBot="1" x14ac:dyDescent="0.3">
      <c r="A56" s="389"/>
      <c r="B56" s="123">
        <v>3</v>
      </c>
      <c r="C56" s="16" t="s">
        <v>59</v>
      </c>
      <c r="D56" s="122" t="s">
        <v>63</v>
      </c>
      <c r="E56" s="122" t="s">
        <v>67</v>
      </c>
      <c r="F56" s="14" t="s">
        <v>71</v>
      </c>
      <c r="G56" s="4"/>
      <c r="H56" s="16">
        <v>11</v>
      </c>
      <c r="I56" s="125">
        <v>13</v>
      </c>
      <c r="J56" s="125">
        <v>9</v>
      </c>
      <c r="K56" s="88">
        <v>14</v>
      </c>
      <c r="L56" s="4"/>
      <c r="M56" s="12" t="s">
        <v>51</v>
      </c>
      <c r="N56" s="4"/>
      <c r="O56" s="16" t="s">
        <v>41</v>
      </c>
      <c r="P56" s="122" t="s">
        <v>29</v>
      </c>
      <c r="Q56" s="122" t="s">
        <v>33</v>
      </c>
      <c r="R56" s="14" t="s">
        <v>37</v>
      </c>
      <c r="S56" s="5"/>
    </row>
    <row r="57" spans="1:21" s="127" customFormat="1" ht="18" customHeight="1" x14ac:dyDescent="0.25">
      <c r="A57" s="3"/>
      <c r="B57" s="3"/>
      <c r="C57" s="3"/>
      <c r="D57" s="3"/>
      <c r="I57" s="3"/>
      <c r="K57" s="6"/>
      <c r="O57" s="6"/>
      <c r="P57" s="3"/>
      <c r="Q57" s="3"/>
      <c r="R57" s="3"/>
    </row>
    <row r="58" spans="1:21" s="127" customFormat="1" ht="18" customHeight="1" x14ac:dyDescent="0.25"/>
    <row r="59" spans="1:21" s="127" customFormat="1" ht="18" customHeight="1" x14ac:dyDescent="0.25">
      <c r="A59" s="385" t="s">
        <v>407</v>
      </c>
      <c r="B59" s="385"/>
      <c r="C59" s="385"/>
      <c r="D59" s="385"/>
      <c r="E59" s="385"/>
      <c r="F59" s="385"/>
    </row>
    <row r="60" spans="1:21" s="127" customFormat="1" ht="18" customHeight="1" x14ac:dyDescent="0.25">
      <c r="A60" s="385"/>
      <c r="B60" s="385"/>
      <c r="C60" s="385"/>
      <c r="D60" s="385"/>
      <c r="E60" s="385"/>
      <c r="F60" s="385"/>
    </row>
    <row r="61" spans="1:21" s="127" customFormat="1" ht="18" customHeight="1" x14ac:dyDescent="0.25"/>
    <row r="62" spans="1:21" ht="18" customHeight="1" x14ac:dyDescent="0.35">
      <c r="A62" s="127"/>
      <c r="B62" s="127"/>
      <c r="C62" s="133" t="s">
        <v>52</v>
      </c>
      <c r="D62" s="133" t="s">
        <v>299</v>
      </c>
      <c r="E62" s="133" t="s">
        <v>301</v>
      </c>
      <c r="F62" s="133" t="s">
        <v>302</v>
      </c>
      <c r="G62" s="127"/>
      <c r="H62" s="127"/>
      <c r="I62" s="127"/>
      <c r="J62" s="127"/>
      <c r="M62" s="127"/>
      <c r="N62" s="127"/>
      <c r="O62" s="127"/>
      <c r="P62" s="127"/>
      <c r="Q62" s="127"/>
      <c r="R62" s="127"/>
    </row>
    <row r="63" spans="1:21" ht="18" customHeight="1" x14ac:dyDescent="0.25">
      <c r="A63" s="127"/>
      <c r="B63" s="127"/>
      <c r="C63" s="317">
        <v>1</v>
      </c>
      <c r="D63" s="317">
        <v>2</v>
      </c>
      <c r="E63" s="317">
        <v>1000</v>
      </c>
      <c r="F63" s="317"/>
      <c r="G63" s="127"/>
      <c r="H63" s="127"/>
      <c r="I63" s="127"/>
      <c r="J63" s="127"/>
      <c r="M63" s="127"/>
      <c r="N63" s="127"/>
      <c r="O63" s="127"/>
      <c r="P63" s="127"/>
      <c r="Q63" s="127"/>
      <c r="R63" s="127"/>
    </row>
    <row r="64" spans="1:21" ht="18" customHeight="1" x14ac:dyDescent="0.25">
      <c r="C64" s="324" t="str">
        <f>IF(ISBLANK(C63),"Randomised",IF(AND(0&lt;=C63,C63&lt;=255),"Accepted","Not Accepted"))</f>
        <v>Accepted</v>
      </c>
      <c r="D64" s="324" t="str">
        <f t="shared" ref="D64:F64" si="13">IF(ISBLANK(D63),"Randomised",IF(AND(0&lt;=D63,D63&lt;=255),"Accepted","Not Accepted"))</f>
        <v>Accepted</v>
      </c>
      <c r="E64" s="324" t="str">
        <f>IF(ISBLANK(E63),"Randomised",IF(AND(0&lt;=E63,E63&lt;=255),"Accepted","Not Accepted"))</f>
        <v>Not Accepted</v>
      </c>
      <c r="F64" s="324" t="str">
        <f t="shared" si="13"/>
        <v>Randomised</v>
      </c>
      <c r="M64" s="127"/>
      <c r="N64" s="127"/>
      <c r="O64" s="127"/>
      <c r="P64" s="127"/>
      <c r="Q64" s="127"/>
      <c r="R64" s="127"/>
    </row>
    <row r="65" spans="1:18" ht="18" customHeight="1" x14ac:dyDescent="0.25">
      <c r="A65" s="127"/>
      <c r="B65" s="127"/>
      <c r="C65" s="339" t="s">
        <v>26</v>
      </c>
      <c r="D65" s="339"/>
      <c r="E65" s="339"/>
      <c r="F65" s="339"/>
      <c r="G65" s="125" t="s">
        <v>298</v>
      </c>
      <c r="H65" s="340" t="s">
        <v>256</v>
      </c>
      <c r="I65" s="340"/>
      <c r="J65" s="340"/>
      <c r="M65" s="127"/>
      <c r="N65" s="127"/>
      <c r="O65" s="127"/>
      <c r="P65" s="127"/>
      <c r="Q65" s="127"/>
      <c r="R65" s="127"/>
    </row>
    <row r="66" spans="1:18" ht="18" customHeight="1" x14ac:dyDescent="0.25">
      <c r="A66" s="386" t="s">
        <v>259</v>
      </c>
      <c r="B66" s="127"/>
      <c r="C66" s="122">
        <f ca="1">IF(ISBLANK(C63),RANDBETWEEN(0,255),IF(AND(0&lt;=C63,C63&lt;=255),C63,RANDBETWEEN(0,255)))</f>
        <v>1</v>
      </c>
      <c r="D66" s="122">
        <f ca="1">IF(ISBLANK(D63),RANDBETWEEN(0,255),IF(AND(0&lt;=D63,D63&lt;=255),D63,RANDBETWEEN(0,255)))</f>
        <v>2</v>
      </c>
      <c r="E66" s="122">
        <f ca="1">IF(ISBLANK(E63),RANDBETWEEN(0,255),IF(AND(0&lt;=E63,E63&lt;=255),E63,RANDBETWEEN(0,255)))</f>
        <v>191</v>
      </c>
      <c r="F66" s="122">
        <f ca="1">IF(ISBLANK(F63),RANDBETWEEN(0,255),IF(AND(0&lt;=F63,F63&lt;=255),F63,RANDBETWEEN(0,255)))</f>
        <v>194</v>
      </c>
      <c r="G66" s="122" t="str">
        <f ca="1">LEN(_xlfn.BASE(C66,2,8))&amp;","&amp;LEN(_xlfn.BASE(D66,2,8))&amp;","&amp;LEN(_xlfn.BASE(E66,2,8))&amp;","&amp;LEN(_xlfn.BASE(F66,2,8))</f>
        <v>8,8,8,8</v>
      </c>
      <c r="H66" s="339" t="str">
        <f ca="1">_xlfn.BASE(C66,2,8)&amp;","&amp;_xlfn.BASE(D66,2,8)&amp;","&amp;_xlfn.BASE(E66,2,8)&amp;","&amp;_xlfn.BASE(F66,2,8)</f>
        <v>00000001,00000010,10111111,11000010</v>
      </c>
      <c r="I66" s="339"/>
      <c r="J66" s="339"/>
      <c r="M66" s="127"/>
      <c r="N66" s="127"/>
      <c r="O66" s="127"/>
      <c r="P66" s="127"/>
      <c r="Q66" s="127"/>
      <c r="R66" s="127"/>
    </row>
    <row r="67" spans="1:18" ht="18" customHeight="1" x14ac:dyDescent="0.25">
      <c r="A67" s="386"/>
      <c r="B67" s="125" t="s">
        <v>312</v>
      </c>
      <c r="C67" s="128">
        <v>14</v>
      </c>
      <c r="D67" s="128">
        <v>11</v>
      </c>
      <c r="E67" s="128">
        <v>13</v>
      </c>
      <c r="F67" s="128">
        <v>9</v>
      </c>
      <c r="G67" s="128"/>
      <c r="H67" s="366"/>
      <c r="I67" s="366"/>
      <c r="J67" s="366"/>
      <c r="M67" s="127"/>
      <c r="N67" s="127"/>
      <c r="O67" s="127"/>
      <c r="P67" s="127"/>
      <c r="Q67" s="127"/>
      <c r="R67" s="127"/>
    </row>
    <row r="68" spans="1:18" ht="18" customHeight="1" x14ac:dyDescent="0.25">
      <c r="A68" s="390" t="s">
        <v>311</v>
      </c>
      <c r="B68" s="127"/>
      <c r="C68" s="125">
        <f ca="1">_xlfn.BITXOR(2*C66,_xlfn.BITXOR(4*C66,8*C66))</f>
        <v>14</v>
      </c>
      <c r="D68" s="125">
        <f ca="1">_xlfn.BITXOR(D66,_xlfn.BITXOR(2*D66,8*D66))</f>
        <v>22</v>
      </c>
      <c r="E68" s="125">
        <f ca="1">_xlfn.BITXOR(E66,_xlfn.BITXOR(4*E66,8*E66))</f>
        <v>1979</v>
      </c>
      <c r="F68" s="125">
        <f ca="1">_xlfn.BITXOR(F66,8*F66)</f>
        <v>1746</v>
      </c>
      <c r="G68" s="125" t="str">
        <f ca="1">LEN(_xlfn.BASE(C68,2,8))&amp;","&amp;LEN(_xlfn.BASE(D68,2,8))&amp;","&amp;LEN(_xlfn.BASE(E68,2,8))&amp;","&amp;LEN(_xlfn.BASE(F68,2,8))</f>
        <v>8,8,11,11</v>
      </c>
      <c r="H68" s="372" t="str">
        <f ca="1">_xlfn.BASE(C68,2,8)&amp;","&amp;_xlfn.BASE(D68,2,8)&amp;","&amp;_xlfn.BASE(E68,2,8)&amp;","&amp;_xlfn.BASE(F68,2,8)</f>
        <v>00001110,00010110,11110111011,11011010010</v>
      </c>
      <c r="I68" s="372"/>
      <c r="J68" s="372"/>
    </row>
    <row r="69" spans="1:18" ht="18" customHeight="1" x14ac:dyDescent="0.25">
      <c r="A69" s="390"/>
      <c r="B69" s="128" t="s">
        <v>72</v>
      </c>
      <c r="C69" s="128">
        <f ca="1">IF(LEN(_xlfn.BASE(C68,2,8))-9&lt;0,C68,IF(LEN(_xlfn.BASE(C68,2,8))-9=0,283,IF(LEN(_xlfn.BASE(C68,2,8))-9=1,566,IF(LEN(_xlfn.BASE(C68,2,8))-9=2,1132,IF(LEN(_xlfn.BASE(C68,2,8))-9=3,2264)))))</f>
        <v>14</v>
      </c>
      <c r="D69" s="128">
        <f t="shared" ref="D69:F69" ca="1" si="14">IF(LEN(_xlfn.BASE(D68,2,8))-9&lt;0,D68,IF(LEN(_xlfn.BASE(D68,2,8))-9=0,283,IF(LEN(_xlfn.BASE(D68,2,8))-9=1,566,IF(LEN(_xlfn.BASE(D68,2,8))-9=2,1132,IF(LEN(_xlfn.BASE(D68,2,8))-9=3,2264)))))</f>
        <v>22</v>
      </c>
      <c r="E69" s="128">
        <f t="shared" ca="1" si="14"/>
        <v>1132</v>
      </c>
      <c r="F69" s="128">
        <f t="shared" ca="1" si="14"/>
        <v>1132</v>
      </c>
      <c r="G69" s="128" t="str">
        <f t="shared" ref="G69:G74" ca="1" si="15">LEN(_xlfn.BASE(C69,2,8))&amp;","&amp;LEN(_xlfn.BASE(D69,2,8))&amp;","&amp;LEN(_xlfn.BASE(E69,2,8))&amp;","&amp;LEN(_xlfn.BASE(F69,2,8))</f>
        <v>8,8,11,11</v>
      </c>
      <c r="H69" s="366" t="str">
        <f t="shared" ref="H69:H74" ca="1" si="16">_xlfn.BASE(C69,2,8)&amp;","&amp;_xlfn.BASE(D69,2,8)&amp;","&amp;_xlfn.BASE(E69,2,8)&amp;","&amp;_xlfn.BASE(F69,2,8)</f>
        <v>00001110,00010110,10001101100,10001101100</v>
      </c>
      <c r="I69" s="366"/>
      <c r="J69" s="366"/>
    </row>
    <row r="70" spans="1:18" ht="18" customHeight="1" x14ac:dyDescent="0.25">
      <c r="A70" s="390"/>
      <c r="B70" s="125"/>
      <c r="C70" s="125">
        <f ca="1">IF(_xlfn.BITXOR(C68,C69)=0,C68,_xlfn.BITXOR(C68,C69))</f>
        <v>14</v>
      </c>
      <c r="D70" s="125">
        <f ca="1">IF(_xlfn.BITXOR(D68,D69)=0,D68,_xlfn.BITXOR(D68,D69))</f>
        <v>22</v>
      </c>
      <c r="E70" s="125">
        <f ca="1">IF(_xlfn.BITXOR(E68,E69)=0,E68,_xlfn.BITXOR(E68,E69))</f>
        <v>983</v>
      </c>
      <c r="F70" s="125">
        <f ca="1">IF(_xlfn.BITXOR(F68,F69)=0,F68,_xlfn.BITXOR(F68,F69))</f>
        <v>702</v>
      </c>
      <c r="G70" s="125" t="str">
        <f ca="1">LEN(_xlfn.BASE(C70,2,8))&amp;","&amp;LEN(_xlfn.BASE(D70,2,8))&amp;","&amp;LEN(_xlfn.BASE(E70,2,8))&amp;","&amp;LEN(_xlfn.BASE(F70,2,8))</f>
        <v>8,8,10,10</v>
      </c>
      <c r="H70" s="372" t="str">
        <f t="shared" ca="1" si="16"/>
        <v>00001110,00010110,1111010111,1010111110</v>
      </c>
      <c r="I70" s="372"/>
      <c r="J70" s="372"/>
    </row>
    <row r="71" spans="1:18" ht="18" customHeight="1" x14ac:dyDescent="0.25">
      <c r="A71" s="390"/>
      <c r="B71" s="128" t="s">
        <v>72</v>
      </c>
      <c r="C71" s="128">
        <f ca="1">IF(LEN(_xlfn.BASE(C70,2,8))-9&lt;0,C70,IF(LEN(_xlfn.BASE(C70,2,8))-9=0,283,IF(LEN(_xlfn.BASE(C70,2,8))-9=1,566,IF(LEN(_xlfn.BASE(C70,2,8))-9=2,1132,IF(LEN(_xlfn.BASE(C70,2,8))-9=3,2264)))))</f>
        <v>14</v>
      </c>
      <c r="D71" s="128">
        <f t="shared" ref="D71:F71" ca="1" si="17">IF(LEN(_xlfn.BASE(D70,2,8))-9&lt;0,D70,IF(LEN(_xlfn.BASE(D70,2,8))-9=0,283,IF(LEN(_xlfn.BASE(D70,2,8))-9=1,566,IF(LEN(_xlfn.BASE(D70,2,8))-9=2,1132,IF(LEN(_xlfn.BASE(D70,2,8))-9=3,2264)))))</f>
        <v>22</v>
      </c>
      <c r="E71" s="128">
        <f t="shared" ca="1" si="17"/>
        <v>566</v>
      </c>
      <c r="F71" s="128">
        <f t="shared" ca="1" si="17"/>
        <v>566</v>
      </c>
      <c r="G71" s="128" t="str">
        <f t="shared" ca="1" si="15"/>
        <v>8,8,10,10</v>
      </c>
      <c r="H71" s="366" t="str">
        <f t="shared" ca="1" si="16"/>
        <v>00001110,00010110,1000110110,1000110110</v>
      </c>
      <c r="I71" s="366"/>
      <c r="J71" s="366"/>
    </row>
    <row r="72" spans="1:18" ht="18" customHeight="1" x14ac:dyDescent="0.25">
      <c r="A72" s="390"/>
      <c r="B72" s="125"/>
      <c r="C72" s="122">
        <f ca="1">IF(_xlfn.BITXOR(C70,C71)=0,C71,_xlfn.BITXOR(C70,C71))</f>
        <v>14</v>
      </c>
      <c r="D72" s="122">
        <f t="shared" ref="D72:F72" ca="1" si="18">IF(_xlfn.BITXOR(D70,D71)=0,D71,_xlfn.BITXOR(D70,D71))</f>
        <v>22</v>
      </c>
      <c r="E72" s="122">
        <f t="shared" ca="1" si="18"/>
        <v>481</v>
      </c>
      <c r="F72" s="122">
        <f t="shared" ca="1" si="18"/>
        <v>136</v>
      </c>
      <c r="G72" s="125" t="str">
        <f t="shared" ca="1" si="15"/>
        <v>8,8,9,8</v>
      </c>
      <c r="H72" s="372" t="str">
        <f t="shared" ca="1" si="16"/>
        <v>00001110,00010110,111100001,10001000</v>
      </c>
      <c r="I72" s="372"/>
      <c r="J72" s="372"/>
    </row>
    <row r="73" spans="1:18" ht="18" customHeight="1" x14ac:dyDescent="0.25">
      <c r="A73" s="390"/>
      <c r="B73" s="93" t="s">
        <v>72</v>
      </c>
      <c r="C73" s="128">
        <f ca="1">IF(LEN(_xlfn.BASE(C72,2,8))-9&lt;0,C72,IF(LEN(_xlfn.BASE(C72,2,8))-9=0,283,IF(LEN(_xlfn.BASE(C72,2,8))-9=1,566,IF(LEN(_xlfn.BASE(C72,2,8))-9=2,1132,IF(LEN(_xlfn.BASE(C72,2,8))-9=3,2264)))))</f>
        <v>14</v>
      </c>
      <c r="D73" s="128">
        <f t="shared" ref="D73:F73" ca="1" si="19">IF(LEN(_xlfn.BASE(D72,2,8))-9&lt;0,D72,IF(LEN(_xlfn.BASE(D72,2,8))-9=0,283,IF(LEN(_xlfn.BASE(D72,2,8))-9=1,566,IF(LEN(_xlfn.BASE(D72,2,8))-9=2,1132,IF(LEN(_xlfn.BASE(D72,2,8))-9=3,2264)))))</f>
        <v>22</v>
      </c>
      <c r="E73" s="128">
        <f t="shared" ca="1" si="19"/>
        <v>283</v>
      </c>
      <c r="F73" s="128">
        <f t="shared" ca="1" si="19"/>
        <v>136</v>
      </c>
      <c r="G73" s="93" t="str">
        <f t="shared" ca="1" si="15"/>
        <v>8,8,9,8</v>
      </c>
      <c r="H73" s="366" t="str">
        <f t="shared" ca="1" si="16"/>
        <v>00001110,00010110,100011011,10001000</v>
      </c>
      <c r="I73" s="366"/>
      <c r="J73" s="366"/>
    </row>
    <row r="74" spans="1:18" ht="18" customHeight="1" x14ac:dyDescent="0.25">
      <c r="A74" s="390"/>
      <c r="B74" s="127"/>
      <c r="C74" s="122">
        <f ca="1">IF(_xlfn.BITXOR(C72,C73)=0,C73,_xlfn.BITXOR(C72,C73))</f>
        <v>14</v>
      </c>
      <c r="D74" s="122">
        <f t="shared" ref="D74:F74" ca="1" si="20">IF(_xlfn.BITXOR(D72,D73)=0,D73,_xlfn.BITXOR(D72,D73))</f>
        <v>22</v>
      </c>
      <c r="E74" s="122">
        <f t="shared" ca="1" si="20"/>
        <v>250</v>
      </c>
      <c r="F74" s="122">
        <f t="shared" ca="1" si="20"/>
        <v>136</v>
      </c>
      <c r="G74" s="125" t="str">
        <f t="shared" ca="1" si="15"/>
        <v>8,8,8,8</v>
      </c>
      <c r="H74" s="372" t="str">
        <f t="shared" ca="1" si="16"/>
        <v>00001110,00010110,11111010,10001000</v>
      </c>
      <c r="I74" s="372"/>
      <c r="J74" s="372"/>
    </row>
    <row r="75" spans="1:18" ht="18" customHeight="1" x14ac:dyDescent="0.25">
      <c r="A75" s="63"/>
      <c r="B75" s="127"/>
      <c r="C75" s="370">
        <f ca="1">_xlfn.BITXOR(_xlfn.BITXOR(C74,D74),_xlfn.BITXOR(E74,F74))</f>
        <v>106</v>
      </c>
      <c r="D75" s="370"/>
      <c r="E75" s="370"/>
      <c r="F75" s="370"/>
      <c r="G75" s="127"/>
      <c r="H75" s="127"/>
      <c r="I75" s="127"/>
      <c r="J75" s="125"/>
    </row>
    <row r="76" spans="1:18" ht="18" customHeight="1" x14ac:dyDescent="0.25">
      <c r="A76" s="127"/>
      <c r="B76" s="127"/>
      <c r="C76" s="127"/>
      <c r="D76" s="127"/>
      <c r="E76" s="127"/>
      <c r="F76" s="127"/>
      <c r="G76" s="127"/>
      <c r="H76" s="127"/>
      <c r="I76" s="127"/>
      <c r="J76" s="127"/>
    </row>
  </sheetData>
  <sheetProtection sheet="1" objects="1" scenarios="1"/>
  <mergeCells count="45">
    <mergeCell ref="C75:F75"/>
    <mergeCell ref="I4:J4"/>
    <mergeCell ref="A68:A74"/>
    <mergeCell ref="H68:J68"/>
    <mergeCell ref="H69:J69"/>
    <mergeCell ref="H70:J70"/>
    <mergeCell ref="H71:J71"/>
    <mergeCell ref="H72:J72"/>
    <mergeCell ref="H73:J73"/>
    <mergeCell ref="H74:J74"/>
    <mergeCell ref="H41:J41"/>
    <mergeCell ref="C42:F42"/>
    <mergeCell ref="C65:F65"/>
    <mergeCell ref="H65:J65"/>
    <mergeCell ref="A66:A67"/>
    <mergeCell ref="H66:J66"/>
    <mergeCell ref="H67:J67"/>
    <mergeCell ref="H35:J35"/>
    <mergeCell ref="H36:J36"/>
    <mergeCell ref="H37:J37"/>
    <mergeCell ref="H38:J38"/>
    <mergeCell ref="H39:J39"/>
    <mergeCell ref="H40:J40"/>
    <mergeCell ref="A44:L45"/>
    <mergeCell ref="A47:F48"/>
    <mergeCell ref="C51:F51"/>
    <mergeCell ref="A53:A56"/>
    <mergeCell ref="A59:F60"/>
    <mergeCell ref="A35:A41"/>
    <mergeCell ref="A1:F2"/>
    <mergeCell ref="C32:F32"/>
    <mergeCell ref="H32:J32"/>
    <mergeCell ref="A33:A34"/>
    <mergeCell ref="H33:J33"/>
    <mergeCell ref="H34:J34"/>
    <mergeCell ref="D4:E4"/>
    <mergeCell ref="D5:E5"/>
    <mergeCell ref="D6:E6"/>
    <mergeCell ref="D7:E7"/>
    <mergeCell ref="D8:E8"/>
    <mergeCell ref="A25:F26"/>
    <mergeCell ref="A13:F14"/>
    <mergeCell ref="C17:F17"/>
    <mergeCell ref="A19:A22"/>
    <mergeCell ref="A10:L11"/>
  </mergeCells>
  <phoneticPr fontId="2" type="noConversion"/>
  <conditionalFormatting sqref="C31:F31 C64:F64">
    <cfRule type="cellIs" dxfId="2" priority="1" operator="equal">
      <formula>"Not Accepted"</formula>
    </cfRule>
    <cfRule type="cellIs" dxfId="1" priority="3" operator="equal">
      <formula>"Accepted"</formula>
    </cfRule>
  </conditionalFormatting>
  <conditionalFormatting sqref="C64:F64 C31:F31">
    <cfRule type="cellIs" dxfId="0" priority="2" operator="equal">
      <formula>"Randomised"</formula>
    </cfRule>
  </conditionalFormatting>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E9C8D-8D14-4D8E-BD98-80954B871B71}">
  <sheetPr codeName="Sheet5"/>
  <dimension ref="A2:AH90"/>
  <sheetViews>
    <sheetView zoomScale="50" zoomScaleNormal="50" workbookViewId="0">
      <selection activeCell="N59" sqref="N59"/>
    </sheetView>
  </sheetViews>
  <sheetFormatPr defaultColWidth="17.140625" defaultRowHeight="18" customHeight="1" x14ac:dyDescent="0.25"/>
  <cols>
    <col min="17" max="17" width="17.140625" customWidth="1"/>
    <col min="29" max="33" width="17.140625" customWidth="1"/>
  </cols>
  <sheetData>
    <row r="2" spans="3:33" ht="18" customHeight="1" x14ac:dyDescent="0.25">
      <c r="E2" s="391" t="s">
        <v>493</v>
      </c>
      <c r="F2" s="391"/>
      <c r="G2" s="391"/>
      <c r="H2" s="391"/>
      <c r="I2" s="391"/>
      <c r="J2" s="391"/>
      <c r="K2" s="391"/>
      <c r="L2" s="391"/>
      <c r="Q2" s="391" t="s">
        <v>436</v>
      </c>
      <c r="R2" s="391"/>
      <c r="S2" s="391"/>
      <c r="T2" s="391"/>
      <c r="U2" s="391"/>
      <c r="V2" s="391"/>
      <c r="W2" s="391"/>
      <c r="X2" s="391"/>
    </row>
    <row r="3" spans="3:33" ht="18" customHeight="1" x14ac:dyDescent="0.25">
      <c r="E3" s="391"/>
      <c r="F3" s="391"/>
      <c r="G3" s="391"/>
      <c r="H3" s="391"/>
      <c r="I3" s="391"/>
      <c r="J3" s="391"/>
      <c r="K3" s="391"/>
      <c r="L3" s="391"/>
      <c r="Q3" s="391"/>
      <c r="R3" s="391"/>
      <c r="S3" s="391"/>
      <c r="T3" s="391"/>
      <c r="U3" s="391"/>
      <c r="V3" s="391"/>
      <c r="W3" s="391"/>
      <c r="X3" s="391"/>
      <c r="Y3" s="325"/>
      <c r="Z3" s="325"/>
      <c r="AA3" s="325"/>
      <c r="AB3" s="325"/>
      <c r="AC3" s="325"/>
      <c r="AD3" s="325"/>
      <c r="AE3" s="325"/>
      <c r="AF3" s="325"/>
      <c r="AG3" s="325"/>
    </row>
    <row r="14" spans="3:33" ht="18" customHeight="1" x14ac:dyDescent="0.25">
      <c r="C14" s="25"/>
    </row>
    <row r="43" spans="11:34" ht="18" customHeight="1" x14ac:dyDescent="0.25">
      <c r="AE43" s="115"/>
      <c r="AF43" s="115"/>
      <c r="AG43" s="340"/>
      <c r="AH43" s="340"/>
    </row>
    <row r="44" spans="11:34" ht="18" customHeight="1" x14ac:dyDescent="0.25">
      <c r="K44" s="117"/>
      <c r="L44" s="117"/>
      <c r="M44" s="117"/>
      <c r="AE44" s="115"/>
      <c r="AF44" s="115"/>
      <c r="AG44" s="340"/>
      <c r="AH44" s="340"/>
    </row>
    <row r="45" spans="11:34" ht="18" customHeight="1" x14ac:dyDescent="0.25">
      <c r="L45" s="1"/>
      <c r="M45" s="1"/>
      <c r="AE45" s="115"/>
      <c r="AF45" s="115"/>
      <c r="AG45" s="340"/>
      <c r="AH45" s="340"/>
    </row>
    <row r="46" spans="11:34" ht="18" customHeight="1" x14ac:dyDescent="0.25">
      <c r="AE46" s="115"/>
      <c r="AF46" s="115"/>
      <c r="AG46" s="340"/>
      <c r="AH46" s="340"/>
    </row>
    <row r="47" spans="11:34" ht="18" customHeight="1" x14ac:dyDescent="0.25">
      <c r="AE47" s="115"/>
      <c r="AF47" s="115"/>
      <c r="AG47" s="340"/>
      <c r="AH47" s="340"/>
    </row>
    <row r="48" spans="11:34" ht="18" customHeight="1" x14ac:dyDescent="0.25">
      <c r="AE48" s="115"/>
      <c r="AF48" s="115"/>
      <c r="AG48" s="340"/>
      <c r="AH48" s="340"/>
    </row>
    <row r="49" spans="1:34" ht="18" customHeight="1" x14ac:dyDescent="0.25">
      <c r="AE49" s="115"/>
      <c r="AF49" s="115"/>
      <c r="AG49" s="340"/>
      <c r="AH49" s="340"/>
    </row>
    <row r="50" spans="1:34" ht="18" customHeight="1" x14ac:dyDescent="0.25">
      <c r="AE50" s="115"/>
      <c r="AF50" s="115"/>
      <c r="AG50" s="340"/>
      <c r="AH50" s="340"/>
    </row>
    <row r="51" spans="1:34" ht="18" customHeight="1" x14ac:dyDescent="0.25">
      <c r="A51" s="385" t="s">
        <v>395</v>
      </c>
      <c r="B51" s="385"/>
      <c r="C51" s="385"/>
      <c r="D51" s="385"/>
      <c r="E51" s="385"/>
      <c r="F51" s="385"/>
      <c r="G51" s="385"/>
      <c r="H51" s="385"/>
      <c r="I51" s="385"/>
      <c r="J51" s="385"/>
      <c r="K51" s="385"/>
      <c r="L51" s="385"/>
      <c r="AE51" s="115"/>
      <c r="AF51" s="115"/>
      <c r="AG51" s="340"/>
      <c r="AH51" s="340"/>
    </row>
    <row r="52" spans="1:34" ht="18" customHeight="1" x14ac:dyDescent="0.25">
      <c r="A52" s="385"/>
      <c r="B52" s="385"/>
      <c r="C52" s="385"/>
      <c r="D52" s="385"/>
      <c r="E52" s="385"/>
      <c r="F52" s="385"/>
      <c r="G52" s="385"/>
      <c r="H52" s="385"/>
      <c r="I52" s="385"/>
      <c r="J52" s="385"/>
      <c r="K52" s="385"/>
      <c r="L52" s="385"/>
      <c r="AE52" s="115"/>
      <c r="AF52" s="115"/>
      <c r="AG52" s="340"/>
      <c r="AH52" s="340"/>
    </row>
    <row r="53" spans="1:34" ht="18" customHeight="1" x14ac:dyDescent="0.25">
      <c r="F53" s="134"/>
      <c r="G53" s="134"/>
      <c r="H53" s="134"/>
      <c r="I53" s="134"/>
      <c r="J53" s="134"/>
      <c r="K53" s="134"/>
      <c r="L53" s="134"/>
      <c r="M53" s="134"/>
      <c r="N53" s="134"/>
      <c r="O53" s="134"/>
      <c r="P53" s="134"/>
      <c r="Q53" s="134"/>
      <c r="R53" s="134"/>
      <c r="S53" s="134"/>
      <c r="T53" s="134"/>
      <c r="U53" s="134"/>
      <c r="V53" s="134"/>
      <c r="W53" s="134"/>
      <c r="X53" s="134"/>
      <c r="AE53" s="115"/>
      <c r="AF53" s="115"/>
      <c r="AG53" s="340"/>
      <c r="AH53" s="340"/>
    </row>
    <row r="54" spans="1:34" ht="18" customHeight="1" x14ac:dyDescent="0.25">
      <c r="F54" s="134"/>
      <c r="G54" s="134"/>
      <c r="M54" s="134"/>
      <c r="N54" s="134"/>
      <c r="O54" s="134"/>
      <c r="P54" s="134"/>
      <c r="Q54" s="134"/>
      <c r="R54" s="134"/>
      <c r="S54" s="134"/>
      <c r="T54" s="134"/>
      <c r="U54" s="134"/>
      <c r="V54" s="134"/>
      <c r="W54" s="134"/>
      <c r="X54" s="134"/>
      <c r="AE54" s="115"/>
      <c r="AF54" s="115"/>
      <c r="AG54" s="340"/>
      <c r="AH54" s="340"/>
    </row>
    <row r="55" spans="1:34" ht="18" customHeight="1" x14ac:dyDescent="0.25">
      <c r="F55" s="134"/>
      <c r="G55" s="134"/>
      <c r="M55" s="134"/>
      <c r="N55" s="134"/>
      <c r="O55" s="134"/>
      <c r="P55" s="134"/>
      <c r="Q55" s="134"/>
      <c r="R55" s="134"/>
      <c r="S55" s="134"/>
      <c r="T55" s="134"/>
      <c r="U55" s="134"/>
      <c r="V55" s="134"/>
      <c r="W55" s="134"/>
      <c r="X55" s="134"/>
      <c r="AE55" s="115"/>
      <c r="AF55" s="115"/>
      <c r="AG55" s="340"/>
      <c r="AH55" s="340"/>
    </row>
    <row r="56" spans="1:34" ht="18" customHeight="1" x14ac:dyDescent="0.25">
      <c r="A56" s="385" t="s">
        <v>409</v>
      </c>
      <c r="B56" s="385"/>
      <c r="C56" s="385"/>
      <c r="D56" s="385"/>
      <c r="E56" s="385"/>
      <c r="F56" s="385"/>
      <c r="AE56" s="115"/>
      <c r="AF56" s="115"/>
      <c r="AG56" s="340"/>
      <c r="AH56" s="340"/>
    </row>
    <row r="57" spans="1:34" ht="18" customHeight="1" x14ac:dyDescent="0.25">
      <c r="A57" s="385"/>
      <c r="B57" s="385"/>
      <c r="C57" s="385"/>
      <c r="D57" s="385"/>
      <c r="E57" s="385"/>
      <c r="F57" s="385"/>
      <c r="AE57" s="115"/>
      <c r="AF57" s="115"/>
      <c r="AG57" s="340"/>
      <c r="AH57" s="340"/>
    </row>
    <row r="58" spans="1:34" ht="18" customHeight="1" x14ac:dyDescent="0.25">
      <c r="B58" s="117"/>
      <c r="C58" s="117"/>
      <c r="D58" s="117"/>
      <c r="E58" s="117"/>
      <c r="F58" s="117"/>
      <c r="AE58" s="130"/>
      <c r="AF58" s="115"/>
      <c r="AG58" s="340"/>
      <c r="AH58" s="340"/>
    </row>
    <row r="60" spans="1:34" ht="18" customHeight="1" x14ac:dyDescent="0.35">
      <c r="A60" s="131"/>
      <c r="B60" s="392" t="s">
        <v>396</v>
      </c>
      <c r="C60" s="392"/>
      <c r="D60" s="392"/>
      <c r="E60" s="392"/>
      <c r="F60" s="392"/>
      <c r="G60" s="131"/>
      <c r="H60" s="392" t="s">
        <v>397</v>
      </c>
      <c r="I60" s="392"/>
      <c r="J60" s="392"/>
      <c r="K60" s="392"/>
      <c r="L60" s="392"/>
      <c r="M60" s="131"/>
      <c r="N60" s="392" t="s">
        <v>398</v>
      </c>
      <c r="O60" s="392"/>
      <c r="P60" s="392"/>
      <c r="Q60" s="392"/>
      <c r="R60" s="392"/>
      <c r="S60" s="131"/>
      <c r="T60" s="392" t="s">
        <v>399</v>
      </c>
      <c r="U60" s="392"/>
      <c r="V60" s="392"/>
      <c r="W60" s="392"/>
      <c r="X60" s="392"/>
      <c r="Y60" s="131"/>
    </row>
    <row r="61" spans="1:34" ht="18" customHeight="1" x14ac:dyDescent="0.35">
      <c r="A61" s="131"/>
      <c r="B61" s="392"/>
      <c r="C61" s="392"/>
      <c r="D61" s="392"/>
      <c r="E61" s="392"/>
      <c r="F61" s="392"/>
      <c r="G61" s="131"/>
      <c r="H61" s="392"/>
      <c r="I61" s="392"/>
      <c r="J61" s="392"/>
      <c r="K61" s="392"/>
      <c r="L61" s="392"/>
      <c r="M61" s="131"/>
      <c r="N61" s="392"/>
      <c r="O61" s="392"/>
      <c r="P61" s="392"/>
      <c r="Q61" s="392"/>
      <c r="R61" s="392"/>
      <c r="S61" s="131"/>
      <c r="T61" s="392"/>
      <c r="U61" s="392"/>
      <c r="V61" s="392"/>
      <c r="W61" s="392"/>
      <c r="X61" s="392"/>
      <c r="Y61" s="131"/>
    </row>
    <row r="62" spans="1:34" ht="18" customHeight="1" x14ac:dyDescent="0.35">
      <c r="A62" s="132" t="s">
        <v>401</v>
      </c>
      <c r="B62" s="132" t="s">
        <v>90</v>
      </c>
      <c r="C62" s="132" t="s">
        <v>255</v>
      </c>
      <c r="D62" s="360" t="s">
        <v>282</v>
      </c>
      <c r="E62" s="360"/>
      <c r="F62" s="132" t="s">
        <v>298</v>
      </c>
      <c r="G62" s="131"/>
      <c r="H62" s="132" t="s">
        <v>90</v>
      </c>
      <c r="I62" s="132" t="s">
        <v>255</v>
      </c>
      <c r="J62" s="360" t="s">
        <v>282</v>
      </c>
      <c r="K62" s="360"/>
      <c r="L62" s="132" t="s">
        <v>298</v>
      </c>
      <c r="M62" s="131"/>
      <c r="N62" s="132" t="s">
        <v>90</v>
      </c>
      <c r="O62" s="132" t="s">
        <v>255</v>
      </c>
      <c r="P62" s="360" t="s">
        <v>282</v>
      </c>
      <c r="Q62" s="360"/>
      <c r="R62" s="132" t="s">
        <v>298</v>
      </c>
      <c r="S62" s="131"/>
      <c r="T62" s="132" t="s">
        <v>90</v>
      </c>
      <c r="U62" s="132" t="s">
        <v>255</v>
      </c>
      <c r="V62" s="360" t="s">
        <v>282</v>
      </c>
      <c r="W62" s="360"/>
      <c r="X62" s="132" t="s">
        <v>298</v>
      </c>
      <c r="Y62" s="131"/>
    </row>
    <row r="63" spans="1:34" ht="18" customHeight="1" x14ac:dyDescent="0.35">
      <c r="A63" s="132">
        <v>0</v>
      </c>
      <c r="B63" s="132" t="str">
        <f>_xlfn.BASE(C63,16,2)</f>
        <v>01</v>
      </c>
      <c r="C63" s="132">
        <f>2^A63</f>
        <v>1</v>
      </c>
      <c r="D63" s="360" t="str">
        <f>_xlfn.BASE(C63,2,8)</f>
        <v>00000001</v>
      </c>
      <c r="E63" s="360"/>
      <c r="F63" s="132">
        <f t="shared" ref="F63:F77" si="0">LEN(_xlfn.BASE(C63,2,8))</f>
        <v>8</v>
      </c>
      <c r="G63" s="131"/>
      <c r="H63" s="132" t="str">
        <f>_xlfn.BASE(I63,16,2)</f>
        <v>01</v>
      </c>
      <c r="I63" s="132">
        <f t="shared" ref="I63:I77" si="1">IF(F63=8,C63,IF(F63=9,_xlfn.BITXOR(C63,283),IF(F63=10,_xlfn.BITXOR(C63,566),IF(F63=11,_xlfn.BITXOR(C63,1132),IF(F63=12,_xlfn.BITXOR(C63,2264),IF(F63=13,_xlfn.BITXOR(C63,4528),IF(F63=14,_xlfn.BITXOR(C63,9056),_xlfn.BITXOR(C63,18112))))))))</f>
        <v>1</v>
      </c>
      <c r="J63" s="360" t="str">
        <f>_xlfn.BASE(I63,2,8)</f>
        <v>00000001</v>
      </c>
      <c r="K63" s="360"/>
      <c r="L63" s="132">
        <f t="shared" ref="L63:L77" si="2">LEN(_xlfn.BASE(I63,2,8))</f>
        <v>8</v>
      </c>
      <c r="M63" s="131"/>
      <c r="N63" s="132" t="str">
        <f>_xlfn.BASE(O63,16,2)</f>
        <v>01</v>
      </c>
      <c r="O63" s="132">
        <f t="shared" ref="O63:O77" si="3">IF(L63=8,I63,IF(L63=9,_xlfn.BITXOR(I63,283),IF(L63=10,_xlfn.BITXOR(I63,566),IF(L63=11,_xlfn.BITXOR(I63,1132),IF(L63=12,_xlfn.BITXOR(I63,2264),IF(L63=13,_xlfn.BITXOR(I63,4528),IF(L63=14,_xlfn.BITXOR(I63,9056),_xlfn.BITXOR(I63,18112))))))))</f>
        <v>1</v>
      </c>
      <c r="P63" s="360" t="str">
        <f>_xlfn.BASE(O63,2,8)</f>
        <v>00000001</v>
      </c>
      <c r="Q63" s="360"/>
      <c r="R63" s="132">
        <f t="shared" ref="R63:R77" si="4">LEN(_xlfn.BASE(O63,2,8))</f>
        <v>8</v>
      </c>
      <c r="S63" s="131"/>
      <c r="T63" s="132" t="str">
        <f>_xlfn.BASE(U63,16,2)</f>
        <v>01</v>
      </c>
      <c r="U63" s="132">
        <f t="shared" ref="U63:U77" si="5">IF(R63=8,O63,IF(R63=9,_xlfn.BITXOR(O63,283),IF(R63=10,_xlfn.BITXOR(O63,566),IF(R63=11,_xlfn.BITXOR(O63,1132),IF(R63=12,_xlfn.BITXOR(O63,2264),IF(R63=13,_xlfn.BITXOR(O63,4528),IF(R63=14,_xlfn.BITXOR(O63,9056),_xlfn.BITXOR(O63,18112))))))))</f>
        <v>1</v>
      </c>
      <c r="V63" s="360" t="str">
        <f>_xlfn.BASE(U63,2,8)</f>
        <v>00000001</v>
      </c>
      <c r="W63" s="360"/>
      <c r="X63" s="132">
        <f t="shared" ref="X63:X77" si="6">LEN(_xlfn.BASE(U63,2,8))</f>
        <v>8</v>
      </c>
      <c r="Y63" s="131"/>
    </row>
    <row r="64" spans="1:34" ht="18" customHeight="1" x14ac:dyDescent="0.35">
      <c r="A64" s="132">
        <v>1</v>
      </c>
      <c r="B64" s="132" t="str">
        <f t="shared" ref="B64:B77" si="7">_xlfn.BASE(C64,16,2)</f>
        <v>02</v>
      </c>
      <c r="C64" s="132">
        <f t="shared" ref="C63:C77" si="8">2^A64</f>
        <v>2</v>
      </c>
      <c r="D64" s="360" t="str">
        <f t="shared" ref="D64:D77" si="9">_xlfn.BASE(C64,2,8)</f>
        <v>00000010</v>
      </c>
      <c r="E64" s="360"/>
      <c r="F64" s="132">
        <f t="shared" si="0"/>
        <v>8</v>
      </c>
      <c r="G64" s="131"/>
      <c r="H64" s="132" t="str">
        <f t="shared" ref="H64:H77" si="10">_xlfn.BASE(I64,16,2)</f>
        <v>02</v>
      </c>
      <c r="I64" s="132">
        <f t="shared" si="1"/>
        <v>2</v>
      </c>
      <c r="J64" s="360" t="str">
        <f t="shared" ref="J64:J77" si="11">_xlfn.BASE(I64,2,8)</f>
        <v>00000010</v>
      </c>
      <c r="K64" s="360"/>
      <c r="L64" s="132">
        <f t="shared" si="2"/>
        <v>8</v>
      </c>
      <c r="M64" s="131"/>
      <c r="N64" s="132" t="str">
        <f t="shared" ref="N64:N77" si="12">_xlfn.BASE(O64,16,2)</f>
        <v>02</v>
      </c>
      <c r="O64" s="132">
        <f t="shared" si="3"/>
        <v>2</v>
      </c>
      <c r="P64" s="360" t="str">
        <f t="shared" ref="P64:P77" si="13">_xlfn.BASE(O64,2,8)</f>
        <v>00000010</v>
      </c>
      <c r="Q64" s="360"/>
      <c r="R64" s="132">
        <f t="shared" si="4"/>
        <v>8</v>
      </c>
      <c r="S64" s="131"/>
      <c r="T64" s="132" t="str">
        <f t="shared" ref="T64:T77" si="14">_xlfn.BASE(U64,16,2)</f>
        <v>02</v>
      </c>
      <c r="U64" s="132">
        <f t="shared" si="5"/>
        <v>2</v>
      </c>
      <c r="V64" s="360" t="str">
        <f t="shared" ref="V64:V77" si="15">_xlfn.BASE(U64,2,8)</f>
        <v>00000010</v>
      </c>
      <c r="W64" s="360"/>
      <c r="X64" s="132">
        <f t="shared" si="6"/>
        <v>8</v>
      </c>
      <c r="Y64" s="131"/>
    </row>
    <row r="65" spans="1:26" ht="18" customHeight="1" x14ac:dyDescent="0.35">
      <c r="A65" s="132">
        <v>2</v>
      </c>
      <c r="B65" s="132" t="str">
        <f t="shared" si="7"/>
        <v>04</v>
      </c>
      <c r="C65" s="132">
        <f t="shared" si="8"/>
        <v>4</v>
      </c>
      <c r="D65" s="360" t="str">
        <f t="shared" si="9"/>
        <v>00000100</v>
      </c>
      <c r="E65" s="360"/>
      <c r="F65" s="132">
        <f t="shared" si="0"/>
        <v>8</v>
      </c>
      <c r="G65" s="131"/>
      <c r="H65" s="132" t="str">
        <f t="shared" si="10"/>
        <v>04</v>
      </c>
      <c r="I65" s="132">
        <f t="shared" si="1"/>
        <v>4</v>
      </c>
      <c r="J65" s="360" t="str">
        <f t="shared" si="11"/>
        <v>00000100</v>
      </c>
      <c r="K65" s="360"/>
      <c r="L65" s="132">
        <f t="shared" si="2"/>
        <v>8</v>
      </c>
      <c r="M65" s="131"/>
      <c r="N65" s="132" t="str">
        <f t="shared" si="12"/>
        <v>04</v>
      </c>
      <c r="O65" s="132">
        <f t="shared" si="3"/>
        <v>4</v>
      </c>
      <c r="P65" s="360" t="str">
        <f t="shared" si="13"/>
        <v>00000100</v>
      </c>
      <c r="Q65" s="360"/>
      <c r="R65" s="132">
        <f t="shared" si="4"/>
        <v>8</v>
      </c>
      <c r="S65" s="131"/>
      <c r="T65" s="132" t="str">
        <f t="shared" si="14"/>
        <v>04</v>
      </c>
      <c r="U65" s="132">
        <f t="shared" si="5"/>
        <v>4</v>
      </c>
      <c r="V65" s="360" t="str">
        <f t="shared" si="15"/>
        <v>00000100</v>
      </c>
      <c r="W65" s="360"/>
      <c r="X65" s="132">
        <f t="shared" si="6"/>
        <v>8</v>
      </c>
      <c r="Y65" s="131"/>
      <c r="Z65" s="43"/>
    </row>
    <row r="66" spans="1:26" ht="18" customHeight="1" x14ac:dyDescent="0.35">
      <c r="A66" s="132">
        <v>3</v>
      </c>
      <c r="B66" s="132" t="str">
        <f t="shared" si="7"/>
        <v>08</v>
      </c>
      <c r="C66" s="132">
        <f t="shared" si="8"/>
        <v>8</v>
      </c>
      <c r="D66" s="360" t="str">
        <f t="shared" si="9"/>
        <v>00001000</v>
      </c>
      <c r="E66" s="360"/>
      <c r="F66" s="132">
        <f t="shared" si="0"/>
        <v>8</v>
      </c>
      <c r="G66" s="131"/>
      <c r="H66" s="132" t="str">
        <f t="shared" si="10"/>
        <v>08</v>
      </c>
      <c r="I66" s="132">
        <f t="shared" si="1"/>
        <v>8</v>
      </c>
      <c r="J66" s="360" t="str">
        <f t="shared" si="11"/>
        <v>00001000</v>
      </c>
      <c r="K66" s="360"/>
      <c r="L66" s="132">
        <f t="shared" si="2"/>
        <v>8</v>
      </c>
      <c r="M66" s="131"/>
      <c r="N66" s="132" t="str">
        <f t="shared" si="12"/>
        <v>08</v>
      </c>
      <c r="O66" s="132">
        <f t="shared" si="3"/>
        <v>8</v>
      </c>
      <c r="P66" s="360" t="str">
        <f t="shared" si="13"/>
        <v>00001000</v>
      </c>
      <c r="Q66" s="360"/>
      <c r="R66" s="132">
        <f t="shared" si="4"/>
        <v>8</v>
      </c>
      <c r="S66" s="131"/>
      <c r="T66" s="132" t="str">
        <f t="shared" si="14"/>
        <v>08</v>
      </c>
      <c r="U66" s="132">
        <f t="shared" si="5"/>
        <v>8</v>
      </c>
      <c r="V66" s="360" t="str">
        <f t="shared" si="15"/>
        <v>00001000</v>
      </c>
      <c r="W66" s="360"/>
      <c r="X66" s="132">
        <f t="shared" si="6"/>
        <v>8</v>
      </c>
      <c r="Y66" s="131"/>
    </row>
    <row r="67" spans="1:26" ht="18" customHeight="1" x14ac:dyDescent="0.35">
      <c r="A67" s="132">
        <v>4</v>
      </c>
      <c r="B67" s="132" t="str">
        <f t="shared" si="7"/>
        <v>10</v>
      </c>
      <c r="C67" s="132">
        <f t="shared" si="8"/>
        <v>16</v>
      </c>
      <c r="D67" s="360" t="str">
        <f t="shared" si="9"/>
        <v>00010000</v>
      </c>
      <c r="E67" s="360"/>
      <c r="F67" s="132">
        <f t="shared" si="0"/>
        <v>8</v>
      </c>
      <c r="G67" s="131"/>
      <c r="H67" s="132" t="str">
        <f t="shared" si="10"/>
        <v>10</v>
      </c>
      <c r="I67" s="132">
        <f t="shared" si="1"/>
        <v>16</v>
      </c>
      <c r="J67" s="360" t="str">
        <f t="shared" si="11"/>
        <v>00010000</v>
      </c>
      <c r="K67" s="360"/>
      <c r="L67" s="132">
        <f t="shared" si="2"/>
        <v>8</v>
      </c>
      <c r="M67" s="131"/>
      <c r="N67" s="132" t="str">
        <f t="shared" si="12"/>
        <v>10</v>
      </c>
      <c r="O67" s="132">
        <f t="shared" si="3"/>
        <v>16</v>
      </c>
      <c r="P67" s="360" t="str">
        <f t="shared" si="13"/>
        <v>00010000</v>
      </c>
      <c r="Q67" s="360"/>
      <c r="R67" s="132">
        <f t="shared" si="4"/>
        <v>8</v>
      </c>
      <c r="S67" s="131"/>
      <c r="T67" s="132" t="str">
        <f t="shared" si="14"/>
        <v>10</v>
      </c>
      <c r="U67" s="132">
        <f t="shared" si="5"/>
        <v>16</v>
      </c>
      <c r="V67" s="360" t="str">
        <f t="shared" si="15"/>
        <v>00010000</v>
      </c>
      <c r="W67" s="360"/>
      <c r="X67" s="132">
        <f t="shared" si="6"/>
        <v>8</v>
      </c>
      <c r="Y67" s="131"/>
    </row>
    <row r="68" spans="1:26" ht="18" customHeight="1" x14ac:dyDescent="0.35">
      <c r="A68" s="132">
        <v>5</v>
      </c>
      <c r="B68" s="132" t="str">
        <f t="shared" si="7"/>
        <v>20</v>
      </c>
      <c r="C68" s="132">
        <f t="shared" si="8"/>
        <v>32</v>
      </c>
      <c r="D68" s="360" t="str">
        <f t="shared" si="9"/>
        <v>00100000</v>
      </c>
      <c r="E68" s="360"/>
      <c r="F68" s="132">
        <f t="shared" si="0"/>
        <v>8</v>
      </c>
      <c r="G68" s="131"/>
      <c r="H68" s="132" t="str">
        <f t="shared" si="10"/>
        <v>20</v>
      </c>
      <c r="I68" s="132">
        <f t="shared" si="1"/>
        <v>32</v>
      </c>
      <c r="J68" s="360" t="str">
        <f t="shared" si="11"/>
        <v>00100000</v>
      </c>
      <c r="K68" s="360"/>
      <c r="L68" s="132">
        <f t="shared" si="2"/>
        <v>8</v>
      </c>
      <c r="M68" s="131"/>
      <c r="N68" s="132" t="str">
        <f t="shared" si="12"/>
        <v>20</v>
      </c>
      <c r="O68" s="132">
        <f t="shared" si="3"/>
        <v>32</v>
      </c>
      <c r="P68" s="360" t="str">
        <f t="shared" si="13"/>
        <v>00100000</v>
      </c>
      <c r="Q68" s="360"/>
      <c r="R68" s="132">
        <f t="shared" si="4"/>
        <v>8</v>
      </c>
      <c r="S68" s="131"/>
      <c r="T68" s="132" t="str">
        <f t="shared" si="14"/>
        <v>20</v>
      </c>
      <c r="U68" s="132">
        <f t="shared" si="5"/>
        <v>32</v>
      </c>
      <c r="V68" s="360" t="str">
        <f t="shared" si="15"/>
        <v>00100000</v>
      </c>
      <c r="W68" s="360"/>
      <c r="X68" s="132">
        <f t="shared" si="6"/>
        <v>8</v>
      </c>
      <c r="Y68" s="131"/>
    </row>
    <row r="69" spans="1:26" ht="18" customHeight="1" x14ac:dyDescent="0.35">
      <c r="A69" s="132">
        <v>6</v>
      </c>
      <c r="B69" s="132" t="str">
        <f t="shared" si="7"/>
        <v>40</v>
      </c>
      <c r="C69" s="132">
        <f t="shared" si="8"/>
        <v>64</v>
      </c>
      <c r="D69" s="360" t="str">
        <f t="shared" si="9"/>
        <v>01000000</v>
      </c>
      <c r="E69" s="360"/>
      <c r="F69" s="132">
        <f t="shared" si="0"/>
        <v>8</v>
      </c>
      <c r="G69" s="131"/>
      <c r="H69" s="132" t="str">
        <f t="shared" si="10"/>
        <v>40</v>
      </c>
      <c r="I69" s="132">
        <f t="shared" si="1"/>
        <v>64</v>
      </c>
      <c r="J69" s="360" t="str">
        <f t="shared" si="11"/>
        <v>01000000</v>
      </c>
      <c r="K69" s="360"/>
      <c r="L69" s="132">
        <f t="shared" si="2"/>
        <v>8</v>
      </c>
      <c r="M69" s="131"/>
      <c r="N69" s="132" t="str">
        <f t="shared" si="12"/>
        <v>40</v>
      </c>
      <c r="O69" s="132">
        <f t="shared" si="3"/>
        <v>64</v>
      </c>
      <c r="P69" s="360" t="str">
        <f t="shared" si="13"/>
        <v>01000000</v>
      </c>
      <c r="Q69" s="360"/>
      <c r="R69" s="132">
        <f t="shared" si="4"/>
        <v>8</v>
      </c>
      <c r="S69" s="131"/>
      <c r="T69" s="132" t="str">
        <f t="shared" si="14"/>
        <v>40</v>
      </c>
      <c r="U69" s="132">
        <f t="shared" si="5"/>
        <v>64</v>
      </c>
      <c r="V69" s="360" t="str">
        <f t="shared" si="15"/>
        <v>01000000</v>
      </c>
      <c r="W69" s="360"/>
      <c r="X69" s="132">
        <f t="shared" si="6"/>
        <v>8</v>
      </c>
      <c r="Y69" s="131"/>
    </row>
    <row r="70" spans="1:26" ht="18" customHeight="1" x14ac:dyDescent="0.35">
      <c r="A70" s="132">
        <v>7</v>
      </c>
      <c r="B70" s="132" t="str">
        <f t="shared" si="7"/>
        <v>80</v>
      </c>
      <c r="C70" s="132">
        <f t="shared" si="8"/>
        <v>128</v>
      </c>
      <c r="D70" s="360" t="str">
        <f t="shared" si="9"/>
        <v>10000000</v>
      </c>
      <c r="E70" s="360"/>
      <c r="F70" s="132">
        <f t="shared" si="0"/>
        <v>8</v>
      </c>
      <c r="G70" s="131"/>
      <c r="H70" s="132" t="str">
        <f t="shared" si="10"/>
        <v>80</v>
      </c>
      <c r="I70" s="132">
        <f t="shared" si="1"/>
        <v>128</v>
      </c>
      <c r="J70" s="360" t="str">
        <f t="shared" si="11"/>
        <v>10000000</v>
      </c>
      <c r="K70" s="360"/>
      <c r="L70" s="132">
        <f t="shared" si="2"/>
        <v>8</v>
      </c>
      <c r="M70" s="131"/>
      <c r="N70" s="132" t="str">
        <f t="shared" si="12"/>
        <v>80</v>
      </c>
      <c r="O70" s="132">
        <f t="shared" si="3"/>
        <v>128</v>
      </c>
      <c r="P70" s="360" t="str">
        <f t="shared" si="13"/>
        <v>10000000</v>
      </c>
      <c r="Q70" s="360"/>
      <c r="R70" s="132">
        <f t="shared" si="4"/>
        <v>8</v>
      </c>
      <c r="S70" s="131"/>
      <c r="T70" s="132" t="str">
        <f t="shared" si="14"/>
        <v>80</v>
      </c>
      <c r="U70" s="132">
        <f t="shared" si="5"/>
        <v>128</v>
      </c>
      <c r="V70" s="360" t="str">
        <f t="shared" si="15"/>
        <v>10000000</v>
      </c>
      <c r="W70" s="360"/>
      <c r="X70" s="132">
        <f t="shared" si="6"/>
        <v>8</v>
      </c>
      <c r="Y70" s="131"/>
    </row>
    <row r="71" spans="1:26" ht="18" customHeight="1" x14ac:dyDescent="0.35">
      <c r="A71" s="132">
        <v>8</v>
      </c>
      <c r="B71" s="132" t="str">
        <f t="shared" si="7"/>
        <v>100</v>
      </c>
      <c r="C71" s="132">
        <f t="shared" si="8"/>
        <v>256</v>
      </c>
      <c r="D71" s="360" t="str">
        <f t="shared" si="9"/>
        <v>100000000</v>
      </c>
      <c r="E71" s="360"/>
      <c r="F71" s="132">
        <f t="shared" si="0"/>
        <v>9</v>
      </c>
      <c r="G71" s="131"/>
      <c r="H71" s="132" t="str">
        <f t="shared" si="10"/>
        <v>1B</v>
      </c>
      <c r="I71" s="132">
        <f t="shared" si="1"/>
        <v>27</v>
      </c>
      <c r="J71" s="360" t="str">
        <f t="shared" si="11"/>
        <v>00011011</v>
      </c>
      <c r="K71" s="360"/>
      <c r="L71" s="132">
        <f t="shared" si="2"/>
        <v>8</v>
      </c>
      <c r="M71" s="131"/>
      <c r="N71" s="132" t="str">
        <f t="shared" si="12"/>
        <v>1B</v>
      </c>
      <c r="O71" s="132">
        <f t="shared" si="3"/>
        <v>27</v>
      </c>
      <c r="P71" s="360" t="str">
        <f t="shared" si="13"/>
        <v>00011011</v>
      </c>
      <c r="Q71" s="360"/>
      <c r="R71" s="132">
        <f t="shared" si="4"/>
        <v>8</v>
      </c>
      <c r="S71" s="131"/>
      <c r="T71" s="132" t="str">
        <f t="shared" si="14"/>
        <v>1B</v>
      </c>
      <c r="U71" s="132">
        <f t="shared" si="5"/>
        <v>27</v>
      </c>
      <c r="V71" s="360" t="str">
        <f t="shared" si="15"/>
        <v>00011011</v>
      </c>
      <c r="W71" s="360"/>
      <c r="X71" s="132">
        <f t="shared" si="6"/>
        <v>8</v>
      </c>
      <c r="Y71" s="131"/>
    </row>
    <row r="72" spans="1:26" ht="18" customHeight="1" x14ac:dyDescent="0.35">
      <c r="A72" s="132">
        <v>9</v>
      </c>
      <c r="B72" s="132" t="str">
        <f t="shared" si="7"/>
        <v>200</v>
      </c>
      <c r="C72" s="132">
        <f t="shared" si="8"/>
        <v>512</v>
      </c>
      <c r="D72" s="360" t="str">
        <f t="shared" si="9"/>
        <v>1000000000</v>
      </c>
      <c r="E72" s="360"/>
      <c r="F72" s="132">
        <f t="shared" si="0"/>
        <v>10</v>
      </c>
      <c r="G72" s="131"/>
      <c r="H72" s="132" t="str">
        <f t="shared" si="10"/>
        <v>36</v>
      </c>
      <c r="I72" s="132">
        <f t="shared" si="1"/>
        <v>54</v>
      </c>
      <c r="J72" s="360" t="str">
        <f t="shared" si="11"/>
        <v>00110110</v>
      </c>
      <c r="K72" s="360"/>
      <c r="L72" s="132">
        <f t="shared" si="2"/>
        <v>8</v>
      </c>
      <c r="M72" s="131"/>
      <c r="N72" s="132" t="str">
        <f t="shared" si="12"/>
        <v>36</v>
      </c>
      <c r="O72" s="132">
        <f t="shared" si="3"/>
        <v>54</v>
      </c>
      <c r="P72" s="360" t="str">
        <f t="shared" si="13"/>
        <v>00110110</v>
      </c>
      <c r="Q72" s="360"/>
      <c r="R72" s="132">
        <f t="shared" si="4"/>
        <v>8</v>
      </c>
      <c r="S72" s="131"/>
      <c r="T72" s="132" t="str">
        <f t="shared" si="14"/>
        <v>36</v>
      </c>
      <c r="U72" s="132">
        <f t="shared" si="5"/>
        <v>54</v>
      </c>
      <c r="V72" s="360" t="str">
        <f t="shared" si="15"/>
        <v>00110110</v>
      </c>
      <c r="W72" s="360"/>
      <c r="X72" s="132">
        <f t="shared" si="6"/>
        <v>8</v>
      </c>
      <c r="Y72" s="131"/>
    </row>
    <row r="73" spans="1:26" ht="18" customHeight="1" x14ac:dyDescent="0.35">
      <c r="A73" s="132">
        <v>10</v>
      </c>
      <c r="B73" s="132" t="str">
        <f t="shared" si="7"/>
        <v>400</v>
      </c>
      <c r="C73" s="132">
        <f t="shared" si="8"/>
        <v>1024</v>
      </c>
      <c r="D73" s="360" t="str">
        <f t="shared" si="9"/>
        <v>10000000000</v>
      </c>
      <c r="E73" s="360"/>
      <c r="F73" s="132">
        <f t="shared" si="0"/>
        <v>11</v>
      </c>
      <c r="G73" s="131"/>
      <c r="H73" s="132" t="str">
        <f t="shared" si="10"/>
        <v>6C</v>
      </c>
      <c r="I73" s="132">
        <f t="shared" si="1"/>
        <v>108</v>
      </c>
      <c r="J73" s="360" t="str">
        <f t="shared" si="11"/>
        <v>01101100</v>
      </c>
      <c r="K73" s="360"/>
      <c r="L73" s="132">
        <f t="shared" si="2"/>
        <v>8</v>
      </c>
      <c r="M73" s="131"/>
      <c r="N73" s="132" t="str">
        <f t="shared" si="12"/>
        <v>6C</v>
      </c>
      <c r="O73" s="132">
        <f t="shared" si="3"/>
        <v>108</v>
      </c>
      <c r="P73" s="360" t="str">
        <f t="shared" si="13"/>
        <v>01101100</v>
      </c>
      <c r="Q73" s="360"/>
      <c r="R73" s="132">
        <f t="shared" si="4"/>
        <v>8</v>
      </c>
      <c r="S73" s="131"/>
      <c r="T73" s="132" t="str">
        <f t="shared" si="14"/>
        <v>6C</v>
      </c>
      <c r="U73" s="132">
        <f t="shared" si="5"/>
        <v>108</v>
      </c>
      <c r="V73" s="360" t="str">
        <f t="shared" si="15"/>
        <v>01101100</v>
      </c>
      <c r="W73" s="360"/>
      <c r="X73" s="132">
        <f t="shared" si="6"/>
        <v>8</v>
      </c>
      <c r="Y73" s="131"/>
    </row>
    <row r="74" spans="1:26" ht="18" customHeight="1" x14ac:dyDescent="0.35">
      <c r="A74" s="132">
        <v>11</v>
      </c>
      <c r="B74" s="132" t="str">
        <f t="shared" si="7"/>
        <v>800</v>
      </c>
      <c r="C74" s="132">
        <f t="shared" si="8"/>
        <v>2048</v>
      </c>
      <c r="D74" s="360" t="str">
        <f t="shared" si="9"/>
        <v>100000000000</v>
      </c>
      <c r="E74" s="360"/>
      <c r="F74" s="132">
        <f t="shared" si="0"/>
        <v>12</v>
      </c>
      <c r="G74" s="131"/>
      <c r="H74" s="132" t="str">
        <f t="shared" si="10"/>
        <v>D8</v>
      </c>
      <c r="I74" s="132">
        <f t="shared" si="1"/>
        <v>216</v>
      </c>
      <c r="J74" s="360" t="str">
        <f t="shared" si="11"/>
        <v>11011000</v>
      </c>
      <c r="K74" s="360"/>
      <c r="L74" s="132">
        <f t="shared" si="2"/>
        <v>8</v>
      </c>
      <c r="M74" s="131"/>
      <c r="N74" s="132" t="str">
        <f t="shared" si="12"/>
        <v>D8</v>
      </c>
      <c r="O74" s="132">
        <f t="shared" si="3"/>
        <v>216</v>
      </c>
      <c r="P74" s="360" t="str">
        <f t="shared" si="13"/>
        <v>11011000</v>
      </c>
      <c r="Q74" s="360"/>
      <c r="R74" s="132">
        <f t="shared" si="4"/>
        <v>8</v>
      </c>
      <c r="S74" s="131"/>
      <c r="T74" s="132" t="str">
        <f t="shared" si="14"/>
        <v>D8</v>
      </c>
      <c r="U74" s="132">
        <f t="shared" si="5"/>
        <v>216</v>
      </c>
      <c r="V74" s="360" t="str">
        <f t="shared" si="15"/>
        <v>11011000</v>
      </c>
      <c r="W74" s="360"/>
      <c r="X74" s="132">
        <f t="shared" si="6"/>
        <v>8</v>
      </c>
      <c r="Y74" s="131"/>
    </row>
    <row r="75" spans="1:26" ht="18" customHeight="1" x14ac:dyDescent="0.35">
      <c r="A75" s="132">
        <v>12</v>
      </c>
      <c r="B75" s="132" t="str">
        <f t="shared" si="7"/>
        <v>1000</v>
      </c>
      <c r="C75" s="132">
        <f t="shared" si="8"/>
        <v>4096</v>
      </c>
      <c r="D75" s="360" t="str">
        <f t="shared" si="9"/>
        <v>1000000000000</v>
      </c>
      <c r="E75" s="360"/>
      <c r="F75" s="132">
        <f t="shared" si="0"/>
        <v>13</v>
      </c>
      <c r="G75" s="131"/>
      <c r="H75" s="132" t="str">
        <f t="shared" si="10"/>
        <v>1B0</v>
      </c>
      <c r="I75" s="132">
        <f t="shared" si="1"/>
        <v>432</v>
      </c>
      <c r="J75" s="360" t="str">
        <f t="shared" si="11"/>
        <v>110110000</v>
      </c>
      <c r="K75" s="360"/>
      <c r="L75" s="132">
        <f t="shared" si="2"/>
        <v>9</v>
      </c>
      <c r="M75" s="131"/>
      <c r="N75" s="132" t="str">
        <f t="shared" si="12"/>
        <v>AB</v>
      </c>
      <c r="O75" s="132">
        <f t="shared" si="3"/>
        <v>171</v>
      </c>
      <c r="P75" s="360" t="str">
        <f t="shared" si="13"/>
        <v>10101011</v>
      </c>
      <c r="Q75" s="360"/>
      <c r="R75" s="132">
        <f t="shared" si="4"/>
        <v>8</v>
      </c>
      <c r="S75" s="131"/>
      <c r="T75" s="132" t="str">
        <f t="shared" si="14"/>
        <v>AB</v>
      </c>
      <c r="U75" s="132">
        <f t="shared" si="5"/>
        <v>171</v>
      </c>
      <c r="V75" s="360" t="str">
        <f t="shared" si="15"/>
        <v>10101011</v>
      </c>
      <c r="W75" s="360"/>
      <c r="X75" s="132">
        <f t="shared" si="6"/>
        <v>8</v>
      </c>
      <c r="Y75" s="131"/>
    </row>
    <row r="76" spans="1:26" ht="18" customHeight="1" x14ac:dyDescent="0.35">
      <c r="A76" s="132">
        <v>13</v>
      </c>
      <c r="B76" s="132" t="str">
        <f t="shared" si="7"/>
        <v>2000</v>
      </c>
      <c r="C76" s="132">
        <f t="shared" si="8"/>
        <v>8192</v>
      </c>
      <c r="D76" s="360" t="str">
        <f t="shared" si="9"/>
        <v>10000000000000</v>
      </c>
      <c r="E76" s="360"/>
      <c r="F76" s="132">
        <f t="shared" si="0"/>
        <v>14</v>
      </c>
      <c r="G76" s="131"/>
      <c r="H76" s="132" t="str">
        <f t="shared" si="10"/>
        <v>360</v>
      </c>
      <c r="I76" s="132">
        <f t="shared" si="1"/>
        <v>864</v>
      </c>
      <c r="J76" s="360" t="str">
        <f t="shared" si="11"/>
        <v>1101100000</v>
      </c>
      <c r="K76" s="360"/>
      <c r="L76" s="132">
        <f t="shared" si="2"/>
        <v>10</v>
      </c>
      <c r="M76" s="131"/>
      <c r="N76" s="132" t="str">
        <f t="shared" si="12"/>
        <v>156</v>
      </c>
      <c r="O76" s="132">
        <f t="shared" si="3"/>
        <v>342</v>
      </c>
      <c r="P76" s="360" t="str">
        <f t="shared" si="13"/>
        <v>101010110</v>
      </c>
      <c r="Q76" s="360"/>
      <c r="R76" s="132">
        <f t="shared" si="4"/>
        <v>9</v>
      </c>
      <c r="S76" s="131"/>
      <c r="T76" s="132" t="str">
        <f t="shared" si="14"/>
        <v>4D</v>
      </c>
      <c r="U76" s="132">
        <f t="shared" si="5"/>
        <v>77</v>
      </c>
      <c r="V76" s="360" t="str">
        <f t="shared" si="15"/>
        <v>01001101</v>
      </c>
      <c r="W76" s="360"/>
      <c r="X76" s="132">
        <f t="shared" si="6"/>
        <v>8</v>
      </c>
      <c r="Y76" s="131"/>
    </row>
    <row r="77" spans="1:26" ht="18" customHeight="1" x14ac:dyDescent="0.35">
      <c r="A77" s="132">
        <v>14</v>
      </c>
      <c r="B77" s="132" t="str">
        <f t="shared" si="7"/>
        <v>4000</v>
      </c>
      <c r="C77" s="132">
        <f t="shared" si="8"/>
        <v>16384</v>
      </c>
      <c r="D77" s="360" t="str">
        <f t="shared" si="9"/>
        <v>100000000000000</v>
      </c>
      <c r="E77" s="360"/>
      <c r="F77" s="132">
        <f t="shared" si="0"/>
        <v>15</v>
      </c>
      <c r="G77" s="131"/>
      <c r="H77" s="132" t="str">
        <f t="shared" si="10"/>
        <v>6C0</v>
      </c>
      <c r="I77" s="132">
        <f t="shared" si="1"/>
        <v>1728</v>
      </c>
      <c r="J77" s="360" t="str">
        <f t="shared" si="11"/>
        <v>11011000000</v>
      </c>
      <c r="K77" s="360"/>
      <c r="L77" s="132">
        <f t="shared" si="2"/>
        <v>11</v>
      </c>
      <c r="M77" s="131"/>
      <c r="N77" s="132" t="str">
        <f t="shared" si="12"/>
        <v>2AC</v>
      </c>
      <c r="O77" s="132">
        <f t="shared" si="3"/>
        <v>684</v>
      </c>
      <c r="P77" s="360" t="str">
        <f t="shared" si="13"/>
        <v>1010101100</v>
      </c>
      <c r="Q77" s="360"/>
      <c r="R77" s="132">
        <f t="shared" si="4"/>
        <v>10</v>
      </c>
      <c r="S77" s="131"/>
      <c r="T77" s="132" t="str">
        <f t="shared" si="14"/>
        <v>9A</v>
      </c>
      <c r="U77" s="132">
        <f t="shared" si="5"/>
        <v>154</v>
      </c>
      <c r="V77" s="360" t="str">
        <f t="shared" si="15"/>
        <v>10011010</v>
      </c>
      <c r="W77" s="360"/>
      <c r="X77" s="132">
        <f t="shared" si="6"/>
        <v>8</v>
      </c>
      <c r="Y77" s="131"/>
    </row>
    <row r="78" spans="1:26" ht="18" customHeight="1" x14ac:dyDescent="0.35">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row>
    <row r="79" spans="1:26" ht="18" customHeight="1" x14ac:dyDescent="0.35">
      <c r="A79" s="385" t="s">
        <v>400</v>
      </c>
      <c r="B79" s="385"/>
      <c r="C79" s="385"/>
      <c r="D79" s="385"/>
      <c r="E79" s="385"/>
      <c r="F79" s="385"/>
      <c r="G79" s="131"/>
      <c r="H79" s="131"/>
      <c r="I79" s="131"/>
      <c r="J79" s="131"/>
      <c r="K79" s="131"/>
      <c r="L79" s="131"/>
      <c r="M79" s="131"/>
      <c r="N79" s="131"/>
      <c r="O79" s="131"/>
      <c r="P79" s="131"/>
      <c r="Q79" s="131"/>
      <c r="R79" s="131"/>
      <c r="S79" s="131"/>
      <c r="T79" s="131"/>
      <c r="U79" s="131"/>
      <c r="V79" s="131"/>
      <c r="W79" s="131"/>
      <c r="X79" s="131"/>
      <c r="Y79" s="131"/>
    </row>
    <row r="80" spans="1:26" ht="18" customHeight="1" x14ac:dyDescent="0.35">
      <c r="A80" s="385"/>
      <c r="B80" s="385"/>
      <c r="C80" s="385"/>
      <c r="D80" s="385"/>
      <c r="E80" s="385"/>
      <c r="F80" s="385"/>
      <c r="H80" s="131"/>
      <c r="I80" s="131"/>
      <c r="J80" s="131"/>
      <c r="K80" s="131"/>
      <c r="L80" s="131"/>
      <c r="M80" s="131"/>
      <c r="N80" s="131"/>
      <c r="O80" s="131"/>
      <c r="P80" s="131"/>
      <c r="Q80" s="131"/>
      <c r="R80" s="131"/>
      <c r="S80" s="131"/>
      <c r="T80" s="131"/>
      <c r="U80" s="131"/>
      <c r="V80" s="131"/>
      <c r="W80" s="131"/>
      <c r="X80" s="131"/>
      <c r="Y80" s="131"/>
    </row>
    <row r="81" spans="1:25" ht="18" customHeight="1" x14ac:dyDescent="0.35">
      <c r="L81" s="131"/>
      <c r="M81" s="131"/>
      <c r="N81" s="131"/>
      <c r="O81" s="131"/>
      <c r="P81" s="131"/>
      <c r="Q81" s="131"/>
      <c r="R81" s="131"/>
      <c r="S81" s="131"/>
      <c r="T81" s="131"/>
      <c r="U81" s="131"/>
      <c r="V81" s="131"/>
      <c r="W81" s="131"/>
      <c r="X81" s="131"/>
      <c r="Y81" s="131"/>
    </row>
    <row r="82" spans="1:25" ht="18" customHeight="1" x14ac:dyDescent="0.35">
      <c r="A82" s="132"/>
      <c r="B82" s="132" t="s">
        <v>90</v>
      </c>
      <c r="C82" s="132" t="s">
        <v>255</v>
      </c>
      <c r="D82" s="360" t="s">
        <v>282</v>
      </c>
      <c r="E82" s="360"/>
      <c r="F82" s="132" t="s">
        <v>298</v>
      </c>
      <c r="L82" s="131"/>
      <c r="M82" s="131"/>
      <c r="N82" s="131"/>
      <c r="O82" s="131"/>
      <c r="P82" s="131"/>
      <c r="Q82" s="131"/>
      <c r="R82" s="131"/>
      <c r="S82" s="131"/>
      <c r="T82" s="131"/>
      <c r="U82" s="131"/>
      <c r="V82" s="131"/>
      <c r="W82" s="131"/>
      <c r="X82" s="131"/>
      <c r="Y82" s="131"/>
    </row>
    <row r="83" spans="1:25" ht="18" customHeight="1" x14ac:dyDescent="0.35">
      <c r="A83" s="132">
        <v>1</v>
      </c>
      <c r="B83" s="132" t="str">
        <f>_xlfn.BASE(C83,16,3)</f>
        <v>11B</v>
      </c>
      <c r="C83" s="132">
        <f>HEX2DEC("11B")</f>
        <v>283</v>
      </c>
      <c r="D83" s="400" t="str">
        <f>_xlfn.BASE(C83,2)</f>
        <v>100011011</v>
      </c>
      <c r="E83" s="400"/>
      <c r="F83" s="133">
        <f>LEN(D83)</f>
        <v>9</v>
      </c>
      <c r="L83" s="131"/>
      <c r="M83" s="131"/>
      <c r="N83" s="131"/>
      <c r="O83" s="131"/>
      <c r="P83" s="131"/>
      <c r="Q83" s="131"/>
      <c r="R83" s="131"/>
      <c r="S83" s="131"/>
      <c r="T83" s="131"/>
      <c r="U83" s="131"/>
      <c r="V83" s="131"/>
      <c r="W83" s="131"/>
      <c r="X83" s="131"/>
      <c r="Y83" s="131"/>
    </row>
    <row r="84" spans="1:25" ht="18" customHeight="1" x14ac:dyDescent="0.35">
      <c r="A84" s="132">
        <v>2</v>
      </c>
      <c r="B84" s="132" t="str">
        <f>_xlfn.BASE(C84,16,3)</f>
        <v>236</v>
      </c>
      <c r="C84" s="132">
        <f>C83*2</f>
        <v>566</v>
      </c>
      <c r="D84" s="400" t="str">
        <f t="shared" ref="D84:D89" si="16">_xlfn.BASE(C84,2)</f>
        <v>1000110110</v>
      </c>
      <c r="E84" s="400"/>
      <c r="F84" s="133">
        <f t="shared" ref="F84:F89" si="17">LEN(D84)</f>
        <v>10</v>
      </c>
      <c r="L84" s="131"/>
      <c r="M84" s="131"/>
      <c r="N84" s="131"/>
      <c r="O84" s="131"/>
      <c r="P84" s="131"/>
      <c r="Q84" s="131"/>
      <c r="R84" s="131"/>
      <c r="S84" s="131"/>
      <c r="T84" s="131"/>
      <c r="U84" s="131"/>
      <c r="V84" s="131"/>
      <c r="W84" s="131"/>
      <c r="X84" s="131"/>
      <c r="Y84" s="131"/>
    </row>
    <row r="85" spans="1:25" ht="18" customHeight="1" x14ac:dyDescent="0.35">
      <c r="A85" s="132">
        <v>3</v>
      </c>
      <c r="B85" s="132" t="str">
        <f t="shared" ref="B85:B89" si="18">_xlfn.BASE(C85,16,3)</f>
        <v>46C</v>
      </c>
      <c r="C85" s="132">
        <f t="shared" ref="C85:C89" si="19">C84*2</f>
        <v>1132</v>
      </c>
      <c r="D85" s="400" t="str">
        <f t="shared" si="16"/>
        <v>10001101100</v>
      </c>
      <c r="E85" s="400"/>
      <c r="F85" s="133">
        <f t="shared" si="17"/>
        <v>11</v>
      </c>
      <c r="L85" s="131"/>
      <c r="M85" s="131"/>
      <c r="N85" s="131"/>
      <c r="O85" s="131"/>
      <c r="P85" s="131"/>
      <c r="Q85" s="131"/>
      <c r="R85" s="131"/>
      <c r="S85" s="131"/>
      <c r="T85" s="131"/>
      <c r="U85" s="131"/>
      <c r="V85" s="131"/>
      <c r="W85" s="131"/>
      <c r="X85" s="131"/>
      <c r="Y85" s="131"/>
    </row>
    <row r="86" spans="1:25" ht="18" customHeight="1" x14ac:dyDescent="0.35">
      <c r="A86" s="132">
        <v>4</v>
      </c>
      <c r="B86" s="132" t="str">
        <f t="shared" si="18"/>
        <v>8D8</v>
      </c>
      <c r="C86" s="132">
        <f t="shared" si="19"/>
        <v>2264</v>
      </c>
      <c r="D86" s="400" t="str">
        <f t="shared" si="16"/>
        <v>100011011000</v>
      </c>
      <c r="E86" s="400"/>
      <c r="F86" s="133">
        <f t="shared" si="17"/>
        <v>12</v>
      </c>
      <c r="L86" s="131"/>
      <c r="M86" s="131"/>
      <c r="N86" s="131"/>
      <c r="O86" s="131"/>
      <c r="P86" s="131"/>
      <c r="Q86" s="131"/>
      <c r="R86" s="131"/>
      <c r="S86" s="131"/>
      <c r="T86" s="131"/>
      <c r="U86" s="131"/>
      <c r="V86" s="131"/>
      <c r="W86" s="131"/>
      <c r="X86" s="131"/>
      <c r="Y86" s="131"/>
    </row>
    <row r="87" spans="1:25" ht="18" customHeight="1" x14ac:dyDescent="0.35">
      <c r="A87" s="132">
        <v>5</v>
      </c>
      <c r="B87" s="132" t="str">
        <f t="shared" si="18"/>
        <v>11B0</v>
      </c>
      <c r="C87" s="132">
        <f t="shared" si="19"/>
        <v>4528</v>
      </c>
      <c r="D87" s="400" t="str">
        <f t="shared" si="16"/>
        <v>1000110110000</v>
      </c>
      <c r="E87" s="400"/>
      <c r="F87" s="133">
        <f t="shared" si="17"/>
        <v>13</v>
      </c>
      <c r="N87" s="131"/>
      <c r="O87" s="131"/>
      <c r="P87" s="131"/>
      <c r="Q87" s="131"/>
      <c r="R87" s="131"/>
      <c r="S87" s="131"/>
      <c r="T87" s="131"/>
      <c r="U87" s="131"/>
      <c r="V87" s="131"/>
      <c r="W87" s="131"/>
      <c r="X87" s="131"/>
      <c r="Y87" s="131"/>
    </row>
    <row r="88" spans="1:25" ht="18" customHeight="1" x14ac:dyDescent="0.35">
      <c r="A88" s="132">
        <v>6</v>
      </c>
      <c r="B88" s="132" t="str">
        <f t="shared" si="18"/>
        <v>2360</v>
      </c>
      <c r="C88" s="132">
        <f t="shared" si="19"/>
        <v>9056</v>
      </c>
      <c r="D88" s="400" t="str">
        <f t="shared" si="16"/>
        <v>10001101100000</v>
      </c>
      <c r="E88" s="400"/>
      <c r="F88" s="133">
        <f t="shared" si="17"/>
        <v>14</v>
      </c>
      <c r="N88" s="131"/>
      <c r="O88" s="131"/>
      <c r="P88" s="131"/>
      <c r="Q88" s="131"/>
      <c r="R88" s="131"/>
      <c r="S88" s="131"/>
      <c r="T88" s="131"/>
      <c r="U88" s="131"/>
      <c r="V88" s="131"/>
      <c r="W88" s="131"/>
      <c r="X88" s="131"/>
      <c r="Y88" s="131"/>
    </row>
    <row r="89" spans="1:25" ht="18" customHeight="1" x14ac:dyDescent="0.35">
      <c r="A89" s="132">
        <v>7</v>
      </c>
      <c r="B89" s="132" t="str">
        <f t="shared" si="18"/>
        <v>46C0</v>
      </c>
      <c r="C89" s="132">
        <f t="shared" si="19"/>
        <v>18112</v>
      </c>
      <c r="D89" s="400" t="str">
        <f t="shared" si="16"/>
        <v>100011011000000</v>
      </c>
      <c r="E89" s="400"/>
      <c r="F89" s="133">
        <f t="shared" si="17"/>
        <v>15</v>
      </c>
      <c r="N89" s="131"/>
      <c r="O89" s="131"/>
      <c r="P89" s="131"/>
      <c r="Q89" s="131"/>
      <c r="R89" s="131"/>
      <c r="S89" s="131"/>
      <c r="T89" s="131"/>
      <c r="U89" s="131"/>
      <c r="V89" s="131"/>
      <c r="W89" s="131"/>
      <c r="X89" s="131"/>
      <c r="Y89" s="131"/>
    </row>
    <row r="90" spans="1:25" ht="18" customHeight="1" x14ac:dyDescent="0.35">
      <c r="A90" s="131"/>
      <c r="N90" s="131"/>
      <c r="O90" s="131"/>
      <c r="P90" s="131"/>
      <c r="Q90" s="131"/>
      <c r="R90" s="131"/>
      <c r="S90" s="131"/>
      <c r="T90" s="131"/>
      <c r="U90" s="131"/>
      <c r="V90" s="131"/>
      <c r="W90" s="131"/>
      <c r="X90" s="131"/>
      <c r="Y90" s="131"/>
    </row>
  </sheetData>
  <sheetProtection sheet="1" objects="1" scenarios="1"/>
  <mergeCells count="97">
    <mergeCell ref="E2:L3"/>
    <mergeCell ref="V75:W75"/>
    <mergeCell ref="V76:W76"/>
    <mergeCell ref="V77:W77"/>
    <mergeCell ref="P76:Q76"/>
    <mergeCell ref="P77:Q77"/>
    <mergeCell ref="B60:F61"/>
    <mergeCell ref="H60:L61"/>
    <mergeCell ref="N60:R61"/>
    <mergeCell ref="T60:X61"/>
    <mergeCell ref="V72:W72"/>
    <mergeCell ref="V64:W64"/>
    <mergeCell ref="V65:W65"/>
    <mergeCell ref="V66:W66"/>
    <mergeCell ref="P65:Q65"/>
    <mergeCell ref="P66:Q66"/>
    <mergeCell ref="J70:K70"/>
    <mergeCell ref="J71:K71"/>
    <mergeCell ref="P62:Q62"/>
    <mergeCell ref="V62:W62"/>
    <mergeCell ref="P63:Q63"/>
    <mergeCell ref="V63:W63"/>
    <mergeCell ref="P73:Q73"/>
    <mergeCell ref="P74:Q74"/>
    <mergeCell ref="V67:W67"/>
    <mergeCell ref="V68:W68"/>
    <mergeCell ref="V69:W69"/>
    <mergeCell ref="V70:W70"/>
    <mergeCell ref="V71:W71"/>
    <mergeCell ref="V73:W73"/>
    <mergeCell ref="V74:W74"/>
    <mergeCell ref="P67:Q67"/>
    <mergeCell ref="P70:Q70"/>
    <mergeCell ref="P71:Q71"/>
    <mergeCell ref="P64:Q64"/>
    <mergeCell ref="J67:K67"/>
    <mergeCell ref="J68:K68"/>
    <mergeCell ref="D70:E70"/>
    <mergeCell ref="D71:E71"/>
    <mergeCell ref="D72:E72"/>
    <mergeCell ref="J72:K72"/>
    <mergeCell ref="J62:K62"/>
    <mergeCell ref="J63:K63"/>
    <mergeCell ref="J64:K64"/>
    <mergeCell ref="J65:K65"/>
    <mergeCell ref="J66:K66"/>
    <mergeCell ref="D88:E88"/>
    <mergeCell ref="D89:E89"/>
    <mergeCell ref="D82:E82"/>
    <mergeCell ref="D62:E62"/>
    <mergeCell ref="D63:E63"/>
    <mergeCell ref="D64:E64"/>
    <mergeCell ref="D65:E65"/>
    <mergeCell ref="D66:E66"/>
    <mergeCell ref="D67:E67"/>
    <mergeCell ref="D68:E68"/>
    <mergeCell ref="A79:F80"/>
    <mergeCell ref="D76:E76"/>
    <mergeCell ref="D77:E77"/>
    <mergeCell ref="D73:E73"/>
    <mergeCell ref="D74:E74"/>
    <mergeCell ref="D75:E75"/>
    <mergeCell ref="D87:E87"/>
    <mergeCell ref="D69:E69"/>
    <mergeCell ref="J69:K69"/>
    <mergeCell ref="P68:Q68"/>
    <mergeCell ref="P69:Q69"/>
    <mergeCell ref="D83:E83"/>
    <mergeCell ref="D84:E84"/>
    <mergeCell ref="D85:E85"/>
    <mergeCell ref="D86:E86"/>
    <mergeCell ref="J75:K75"/>
    <mergeCell ref="P75:Q75"/>
    <mergeCell ref="J76:K76"/>
    <mergeCell ref="J77:K77"/>
    <mergeCell ref="J73:K73"/>
    <mergeCell ref="J74:K74"/>
    <mergeCell ref="P72:Q72"/>
    <mergeCell ref="A51:L52"/>
    <mergeCell ref="AG55:AH55"/>
    <mergeCell ref="AG56:AH56"/>
    <mergeCell ref="AG57:AH57"/>
    <mergeCell ref="AG58:AH58"/>
    <mergeCell ref="A56:F57"/>
    <mergeCell ref="AG54:AH54"/>
    <mergeCell ref="AG53:AH53"/>
    <mergeCell ref="AG48:AH48"/>
    <mergeCell ref="AG49:AH49"/>
    <mergeCell ref="AG50:AH50"/>
    <mergeCell ref="AG51:AH51"/>
    <mergeCell ref="AG52:AH52"/>
    <mergeCell ref="Q2:X3"/>
    <mergeCell ref="AG44:AH44"/>
    <mergeCell ref="AG45:AH45"/>
    <mergeCell ref="AG46:AH46"/>
    <mergeCell ref="AG47:AH47"/>
    <mergeCell ref="AG43:AH43"/>
  </mergeCell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 &amp; Instructions  </vt:lpstr>
      <vt:lpstr>Encyrption</vt:lpstr>
      <vt:lpstr>Decryption</vt:lpstr>
      <vt:lpstr>Encryption Calculations</vt:lpstr>
      <vt:lpstr>Decryption Calculations</vt:lpstr>
      <vt:lpstr>AES S-box</vt:lpstr>
      <vt:lpstr>Mix Columns</vt:lpstr>
      <vt:lpstr>Key Schedule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Thomas Wells</cp:lastModifiedBy>
  <dcterms:created xsi:type="dcterms:W3CDTF">2020-10-11T18:34:02Z</dcterms:created>
  <dcterms:modified xsi:type="dcterms:W3CDTF">2021-05-07T12:18:54Z</dcterms:modified>
</cp:coreProperties>
</file>